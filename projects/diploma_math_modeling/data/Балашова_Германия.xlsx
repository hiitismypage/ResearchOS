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_Notes" sheetId="1" r:id="rId5"/>
    <sheet state="visible" name="ВВП (расходы)" sheetId="2" r:id="rId6"/>
    <sheet state="visible" name="ВВП (доходы)" sheetId="3" r:id="rId7"/>
    <sheet state="visible" name="Секторный Баланс" sheetId="4" r:id="rId8"/>
    <sheet state="visible" name="Платёжный баланс" sheetId="5" r:id="rId9"/>
    <sheet state="visible" name="ГосБюджет" sheetId="6" r:id="rId10"/>
    <sheet state="visible" name="Проверка" sheetId="7" r:id="rId11"/>
    <sheet state="visible" name="Рынок труда" sheetId="8" r:id="rId12"/>
    <sheet state="visible" name="Динам модель" sheetId="9" r:id="rId13"/>
    <sheet state="visible" name="Эконом рост" sheetId="10" r:id="rId14"/>
    <sheet state="hidden" name="__OpenSolverCache__" sheetId="11" r:id="rId15"/>
    <sheet state="hidden" name="__OpenSolver__" sheetId="12" r:id="rId16"/>
    <sheet state="visible" name="Прогнозы" sheetId="13" r:id="rId17"/>
    <sheet state="hidden" name="__OpenSolverCache__ (1)" sheetId="14" r:id="rId18"/>
    <sheet state="hidden" name="__OpenSolver__ (1)" sheetId="15" r:id="rId19"/>
  </sheets>
  <definedNames>
    <definedName localSheetId="9" name="solver_lhs5">'Эконом рост'!$B$8</definedName>
    <definedName localSheetId="9" name="solver_lhs4">'Эконом рост'!$B$7</definedName>
    <definedName localSheetId="9" name="solver_lhs7">'Эконом рост'!$B$9</definedName>
    <definedName localSheetId="9" name="solver_lhs3">'Эконом рост'!$B$7</definedName>
    <definedName localSheetId="9" name="solver_lhs2">'Эконом рост'!$B$16</definedName>
    <definedName localSheetId="9" name="solver_lhs1">'Эконом рост'!$B$16</definedName>
    <definedName localSheetId="9" name="solver_lhs8">'Эконом рост'!$B$9</definedName>
    <definedName localSheetId="9" name="solver_opt">'Эконом рост'!$B$24</definedName>
    <definedName localSheetId="9" name="solver_lhs6">'Эконом рост'!$B$8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tc={adc6c2d0-51d5-46cc-a016-6fb0085040c4}</author>
  </authors>
  <commentList>
    <comment authorId="0" xr:uid="{adc6c2d0-51d5-46cc-a016-6fb0085040c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Исходя из названия не похоже, что это безработица
</t>
      </text>
    </comment>
  </commentList>
</comments>
</file>

<file path=xl/sharedStrings.xml><?xml version="1.0" encoding="utf-8"?>
<sst xmlns="http://schemas.openxmlformats.org/spreadsheetml/2006/main" count="453" uniqueCount="238">
  <si>
    <t>Item</t>
  </si>
  <si>
    <t>Project</t>
  </si>
  <si>
    <t>Germany</t>
  </si>
  <si>
    <t>Methodology (SNA/ESA)</t>
  </si>
  <si>
    <t>ESA 2010 (EU standard). Germany: Destatis (VGR).</t>
  </si>
  <si>
    <t>BoP methodology</t>
  </si>
  <si>
    <t>BPM6. Compiler: Deutsche Bundesbank.</t>
  </si>
  <si>
    <t>Key data sources</t>
  </si>
  <si>
    <t>- Eurostat: nama_10_gdp (GDP &amp; components), gov_10a_main (GG finances), teina110 (GDP deflator), prc_hicp_aind (HICP)
- Destatis: Producer Price Index, national accounts notes
- Deutsche Bundesbank: Balance of Payments (current, capital, financial, reserves)</t>
  </si>
  <si>
    <t>Units &amp; prices</t>
  </si>
  <si>
    <t>Use CURRENT PRICES: million EUR (CP_MEUR) for nominal identities. Labour in thousand persons.</t>
  </si>
  <si>
    <t>period</t>
  </si>
  <si>
    <t>Gross domestic product at market prices – Germany (Eurostat/nama_10_gdp/A.CP_MEUR.B1GQ.DE)</t>
  </si>
  <si>
    <t>Annual – Current prices, million euro – Household and NPISH final consumption expenditure – Germany (Eurostat/nama_10_gdp/A.CP_MEUR.P31_S14_S15.DE)</t>
  </si>
  <si>
    <t>Annual – Current prices, million euro – Final consumption expenditure of general government – Germany (Eurostat/nama_10_gdp/A.CP_MEUR.P3_S13.DE)</t>
  </si>
  <si>
    <t>Annual – Current prices, million euro – Gross fixed capital formation – Germany (Eurostat/nama_10_gdp/A.CP_MEUR.P51G.DE)</t>
  </si>
  <si>
    <t>Annual – Current prices, million euro – Changes in inventories and acquisitions less disposals of valuables – Germany (Eurostat/nama_10_gdp/A.CP_MEUR.P52_P53.DE)</t>
  </si>
  <si>
    <t>Annual – Current prices, million euro – Exports of goods and services – Germany (Eurostat/nama_10_gdp/A.CP_MEUR.P6.DE)</t>
  </si>
  <si>
    <t>Annual – Current prices, million euro – Imports of goods and services – Germany (Eurostat/nama_10_gdp/A.CP_MEUR.P7.DE)</t>
  </si>
  <si>
    <t>ВВП=E</t>
  </si>
  <si>
    <t>C</t>
  </si>
  <si>
    <t>G</t>
  </si>
  <si>
    <t>I</t>
  </si>
  <si>
    <t>Ex</t>
  </si>
  <si>
    <t>Im</t>
  </si>
  <si>
    <t>ВВП (по расходам)</t>
  </si>
  <si>
    <t>Проверка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</si>
  <si>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</si>
  <si>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</si>
  <si>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</si>
  <si>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</si>
  <si>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</si>
  <si>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</si>
  <si>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</si>
  <si>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</si>
  <si>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</si>
  <si>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</si>
  <si>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</si>
  <si>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</si>
  <si>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</si>
  <si>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</si>
  <si>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</si>
  <si>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</si>
  <si>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</si>
  <si>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</si>
  <si>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</si>
  <si>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</si>
  <si>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</si>
  <si>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</si>
  <si>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</si>
  <si>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</si>
  <si>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</si>
  <si>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</si>
  <si>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</si>
  <si>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</si>
  <si>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</si>
  <si>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</si>
  <si>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</si>
  <si>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</si>
  <si>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</si>
  <si>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</si>
  <si>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Annual – Current prices, million euro – Operating surplus and mixed income, gross – Germany (Eurostat/nama_10_gdp/A.CP_MEUR.B2A3G.DE)</t>
  </si>
  <si>
    <t>Annual – Current prices, million euro – Compensation of employees – Germany (Eurostat/nama_10_gdp/A.CP_MEUR.D1.DE)</t>
  </si>
  <si>
    <t>Annual – Current prices, million euro – Taxes on production and imports less subsidies – Germany (Eurostat/nama_10_gdp/A.CP_MEUR.D2X3.DE)</t>
  </si>
  <si>
    <t>Вал прибыль + Вал смеш прибыль</t>
  </si>
  <si>
    <t>Оплата труда</t>
  </si>
  <si>
    <t>Чистые налоги на произв-во и импорт</t>
  </si>
  <si>
    <t>ВВП (доходы)</t>
  </si>
  <si>
    <t>Annual – Current prices, million euro – Paid – Saving, gross – Total economy – Germany (Eurostat/nasa_10_nf_tr/A.CP_MEUR.PAID.B8G.S1.DE)</t>
  </si>
  <si>
    <t>Annual – Current prices, million euro – Paid – Saving, gross – General government – Germany (Eurostat/nasa_10_nf_tr/A.CP_MEUR.PAID.B8G.S13.DE)</t>
  </si>
  <si>
    <t>Вал сбережения (вся экономика)</t>
  </si>
  <si>
    <t>Вал сбережения (гос-во)</t>
  </si>
  <si>
    <t>S</t>
  </si>
  <si>
    <t>I total</t>
  </si>
  <si>
    <t>Nx=Ex-Im</t>
  </si>
  <si>
    <t>δ</t>
  </si>
  <si>
    <t>S=I_total​−δ+NX</t>
  </si>
  <si>
    <t>Im-Ex</t>
  </si>
  <si>
    <t>I − [S + δ + (Im − Ex)]</t>
  </si>
  <si>
    <t>I_total − [S + δ + (Im − Ex)]</t>
  </si>
  <si>
    <t>попробовать пересчитать сбережения через инвест</t>
  </si>
  <si>
    <t>Year</t>
  </si>
  <si>
    <t>current account</t>
  </si>
  <si>
    <t>goods</t>
  </si>
  <si>
    <t>services</t>
  </si>
  <si>
    <t>capital account</t>
  </si>
  <si>
    <t>primary income</t>
  </si>
  <si>
    <t>secondary income</t>
  </si>
  <si>
    <t>Financial account - Balance of payments statistics - IV. Financial account - Net Financial account</t>
  </si>
  <si>
    <t>Financial account - Balance of payments statistics - IV. Financial account - Reserve assets</t>
  </si>
  <si>
    <t>Погрешность</t>
  </si>
  <si>
    <t>NX</t>
  </si>
  <si>
    <t>KA</t>
  </si>
  <si>
    <t>Prim</t>
  </si>
  <si>
    <t>Sec</t>
  </si>
  <si>
    <t>FA</t>
  </si>
  <si>
    <t>ΔRes</t>
  </si>
  <si>
    <t>ΔRes_calc = NX + (Prim + Sec) + KA - FA</t>
  </si>
  <si>
    <t>FA_exRes</t>
  </si>
  <si>
    <t>ΔRes_calc − ΔRes</t>
  </si>
  <si>
    <t>Annual – Million euro – General government – Interest, expenditure – Germany (Eurostat/gov_10a_main/A.MIO_EUR.S13.D41PAY.DE)</t>
  </si>
  <si>
    <t>Annual – Million euro – General government – Total general government expenditure – Germany (Eurostat/gov_10a_main/A.MIO_EUR.S13.TE.DE)</t>
  </si>
  <si>
    <t>Annual – Million euro – General government – Social benefits other than social transfers in kind, expenditure – Germany (Eurostat/gov_10a_main/A.MIO_EUR.S13.D62PAY.DE)</t>
  </si>
  <si>
    <t>Annual – Million euro – General government – Other current transfers, expenditure – Germany (Eurostat/gov_10a_main/A.MIO_EUR.S13.D7PAY.DE)</t>
  </si>
  <si>
    <t>Annual – Million euro – General government – Taxes on production and imports – Germany (Eurostat/gov_10a_taxag/A.MIO_EUR.S13.D2.DE)</t>
  </si>
  <si>
    <t>Annual – Million euro – General government – Taxes on products – Germany (Eurostat/gov_10a_taxag/A.MIO_EUR.S13.D21.DE)</t>
  </si>
  <si>
    <t>Annual – Million euro – General government – Value added type taxes (VAT) – Germany (Eurostat/gov_10a_taxag/A.MIO_EUR.S13.D211.DE)</t>
  </si>
  <si>
    <t>Annual – Million euro – General government – Taxes and duties on imports excluding VAT – Germany (Eurostat/gov_10a_taxag/A.MIO_EUR.S13.D212.DE)</t>
  </si>
  <si>
    <t>Annual – Million euro – General government – Taxes on products, except VAT and import taxes – Germany (Eurostat/gov_10a_taxag/A.MIO_EUR.S13.D214.DE)</t>
  </si>
  <si>
    <t>Annual – Million euro – General government – Other taxes on production – Germany (Eurostat/gov_10a_taxag/A.MIO_EUR.S13.D29.DE)</t>
  </si>
  <si>
    <t>Annual – Million euro – General government – Current taxes on income, wealth, etc. – Germany (Eurostat/gov_10a_taxag/A.MIO_EUR.S13.D5.DE)</t>
  </si>
  <si>
    <t>Annual – Million euro – General government – Taxes on income – Germany (Eurostat/gov_10a_taxag/A.MIO_EUR.S13.D51.DE)</t>
  </si>
  <si>
    <t>Annual – Million euro – General government – Other current taxes – Germany (Eurostat/gov_10a_taxag/A.MIO_EUR.S13.D59.DE)</t>
  </si>
  <si>
    <t>Annual – Million euro – General government – Capital taxes – Germany (Eurostat/gov_10a_taxag/A.MIO_EUR.S13.D91.DE)</t>
  </si>
  <si>
    <t>% (проц платежи по долгу)</t>
  </si>
  <si>
    <t>G (гос закупки)</t>
  </si>
  <si>
    <t>Social benefits other than in kind, payable</t>
  </si>
  <si>
    <t>Other current transfers, payable</t>
  </si>
  <si>
    <t>Tr (трансферты)</t>
  </si>
  <si>
    <t>Налоги на производство и импорт</t>
  </si>
  <si>
    <t>Taxes on products</t>
  </si>
  <si>
    <t>налог на добавленную стоимость</t>
  </si>
  <si>
    <t>Taxes and duties on imports excl. VAT</t>
  </si>
  <si>
    <t>Taxes on products, except VAT and import taxes</t>
  </si>
  <si>
    <t>Other taxes on production</t>
  </si>
  <si>
    <t>Current taxes on income, wealth, etc.</t>
  </si>
  <si>
    <t>Taxes on income</t>
  </si>
  <si>
    <t>Other current taxes</t>
  </si>
  <si>
    <t>Capital taxes</t>
  </si>
  <si>
    <t>Tx</t>
  </si>
  <si>
    <t>T=Tx-Tr</t>
  </si>
  <si>
    <t>процент от ВВП</t>
  </si>
  <si>
    <t>Год</t>
  </si>
  <si>
    <t>Тождество: C+I+G+Ex - (C+T+Im) = 0</t>
  </si>
  <si>
    <t>Annual – Thousand persons – Total – From 20 to 64 years – Total – Germany (Eurostat/lfsa_agan/A.THS_PER.T.Y20-64.TOTAL.DE)</t>
  </si>
  <si>
    <t>Annual – Thousand persons – Total – From 20 to 64 years – Total – Germany (Eurostat/lfsa_egan/A.THS_PER.T.Y20-64.TOTAL.DE)</t>
  </si>
  <si>
    <t>Annual – Thousand persons – Total – From 20 to 64 years – Total – Germany (Eurostat/lfsa_ugan/A.THS_PER.T.Y20-64.TOTAL.DE)</t>
  </si>
  <si>
    <t>Annual – Thousand persons – Total – From 20 to 64 years – Total – Germany (Eurostat/lfsa_igan/A.THS_PER.T.Y20-64.TOTAL.DE)</t>
  </si>
  <si>
    <t>Annual – Chain linked volumes, index 2015=100 – Gross domestic product at market prices – Germany (Eurostat/nama_10_gdp/A.CLV_I15.B1GQ.DE)</t>
  </si>
  <si>
    <t>Annually – Rate – Germany (AMECO/ZNAWRU/DEU.1.0.0.0.ZNAWRU)</t>
  </si>
  <si>
    <t>Labour_force</t>
  </si>
  <si>
    <t>Employment</t>
  </si>
  <si>
    <t>Unemployment</t>
  </si>
  <si>
    <t>Inactive</t>
  </si>
  <si>
    <t>L = E + U</t>
  </si>
  <si>
    <t>Дефлятор ВВП</t>
  </si>
  <si>
    <t>Пересчет реального ВВП через дефлятор</t>
  </si>
  <si>
    <t>Годовой рост реального ВВП: g_t = (Y_real_t / Y_real_{t-1} - 1) * 100%</t>
  </si>
  <si>
    <t>u</t>
  </si>
  <si>
    <t>Естественный уровень безработицы u*</t>
  </si>
  <si>
    <t>Циклическая безработица (u-u*)</t>
  </si>
  <si>
    <t>(Y-Y*)/Y*</t>
  </si>
  <si>
    <t>Коэффициент Оукена β</t>
  </si>
  <si>
    <t>(Y-Y*)/Y*+β(u-u*)=0</t>
  </si>
  <si>
    <t>p_t - Уровень участия</t>
  </si>
  <si>
    <t>Автономные налоги</t>
  </si>
  <si>
    <t>проц ставка (надо вычитать инфляцию по ф Фишера)</t>
  </si>
  <si>
    <t>Ct​=Ca​+MPC⋅(Yt​−Tt​+Trt​)</t>
  </si>
  <si>
    <t>Yad = c*(M/Pad) + d</t>
  </si>
  <si>
    <t>Ylras = a</t>
  </si>
  <si>
    <t>Psras = b или Ysras = e*P + f</t>
  </si>
  <si>
    <t>Y реал</t>
  </si>
  <si>
    <t>t</t>
  </si>
  <si>
    <t>Ta-Tr</t>
  </si>
  <si>
    <t>Yd = Y - T + Tr</t>
  </si>
  <si>
    <t>MPC</t>
  </si>
  <si>
    <t>Ca</t>
  </si>
  <si>
    <t>r</t>
  </si>
  <si>
    <t>slope=-i</t>
  </si>
  <si>
    <t>I0</t>
  </si>
  <si>
    <t>годовые темпы роста в %</t>
  </si>
  <si>
    <t>M1</t>
  </si>
  <si>
    <t>ma=mg</t>
  </si>
  <si>
    <t>A</t>
  </si>
  <si>
    <t>Y</t>
  </si>
  <si>
    <t>P</t>
  </si>
  <si>
    <t>инфляция</t>
  </si>
  <si>
    <t>реал ставка по Фишеру</t>
  </si>
  <si>
    <t>M/P</t>
  </si>
  <si>
    <t>c</t>
  </si>
  <si>
    <t>d</t>
  </si>
  <si>
    <t>e</t>
  </si>
  <si>
    <t>f</t>
  </si>
  <si>
    <t>коэф-ты</t>
  </si>
  <si>
    <t>L</t>
  </si>
  <si>
    <t>L_fact</t>
  </si>
  <si>
    <t>K</t>
  </si>
  <si>
    <t>a=нтп</t>
  </si>
  <si>
    <t>delta_a</t>
  </si>
  <si>
    <t>alfa</t>
  </si>
  <si>
    <t>beta</t>
  </si>
  <si>
    <t>Y факт</t>
  </si>
  <si>
    <t>m</t>
  </si>
  <si>
    <t>b</t>
  </si>
  <si>
    <t>Am</t>
  </si>
  <si>
    <t>MPS</t>
  </si>
  <si>
    <t>ВНК (GFCF)</t>
  </si>
  <si>
    <t>дефлятор</t>
  </si>
  <si>
    <t>реал инвестиции</t>
  </si>
  <si>
    <t>ЧНК</t>
  </si>
  <si>
    <t>Err_t</t>
  </si>
  <si>
    <t>Sum(err_t)</t>
  </si>
  <si>
    <t>g</t>
  </si>
  <si>
    <t>&lt; alpha/beta &lt;</t>
  </si>
  <si>
    <t>калибровка</t>
  </si>
  <si>
    <t>из статистики</t>
  </si>
  <si>
    <t>a</t>
  </si>
  <si>
    <t>Population on 1st January by age, sex and type of projection [proj_23np__custom_19307914]</t>
  </si>
  <si>
    <t>Assumptions for net migration by age, sex and type of projection [proj_23nanmig__custom_19308048]</t>
  </si>
  <si>
    <t>Демограф прогноз</t>
  </si>
  <si>
    <t>сценарий участия</t>
  </si>
  <si>
    <t>сценарий безработицы</t>
  </si>
  <si>
    <t>Time</t>
  </si>
  <si>
    <t>Pop 20-64</t>
  </si>
  <si>
    <t>delta</t>
  </si>
  <si>
    <t>Migr 20-64</t>
  </si>
  <si>
    <t>Чистый рост популяции</t>
  </si>
  <si>
    <t>Естественное изменение (внутр. старение/смертность)</t>
  </si>
  <si>
    <t>L_proj</t>
  </si>
  <si>
    <t>E_proj</t>
  </si>
  <si>
    <t>Доля занятых в трудоспособном населении (EPR)</t>
  </si>
  <si>
    <t>p_scen</t>
  </si>
  <si>
    <t>u_scen</t>
  </si>
  <si>
    <t>p_t</t>
  </si>
  <si>
    <t xml:space="preserve">u_t </t>
  </si>
  <si>
    <t>EPR</t>
  </si>
  <si>
    <t>U_proj</t>
  </si>
  <si>
    <t>u_check примерно равно u_t</t>
  </si>
  <si>
    <t>Y_real (2010-2019)</t>
  </si>
  <si>
    <t>Ex_real (2010-2019)</t>
  </si>
  <si>
    <t>Im_real (2010-2019)</t>
  </si>
  <si>
    <t>Im_share</t>
  </si>
  <si>
    <t>n</t>
  </si>
  <si>
    <t>Im0</t>
  </si>
  <si>
    <t>t для 2010-2019</t>
  </si>
  <si>
    <t>ln(Ex)</t>
  </si>
  <si>
    <t>Ex_pred</t>
  </si>
  <si>
    <t>shock_Ex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</si>
</sst>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11.0"/>
      <color rgb="FF000000"/>
      <name val="Calibri"/>
    </font>
    <font>
      <b/>
      <strike/>
      <sz val="11.0"/>
      <color rgb="FFFF9900"/>
      <name val="Calibri"/>
    </font>
    <font>
      <b/>
      <strike/>
      <sz val="11.0"/>
      <color rgb="FFFF0000"/>
      <name val="Calibri"/>
    </font>
    <font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Docs-Calibri"/>
    </font>
    <font>
      <b/>
      <sz val="11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  <font/>
    <font>
      <b/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6F6F6"/>
        <bgColor rgb="FFF6F6F6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B0B0B0"/>
      </left>
      <top style="thin">
        <color rgb="FFB0B0B0"/>
      </top>
    </border>
    <border>
      <right style="thin">
        <color rgb="FFB0B0B0"/>
      </right>
      <top style="thin">
        <color rgb="FFB0B0B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1" numFmtId="0" xfId="0" applyAlignment="1" applyBorder="1" applyFont="1">
      <alignment horizontal="center" readingOrder="0" shrinkToFit="0" vertical="top" wrapText="0"/>
    </xf>
    <xf borderId="0" fillId="0" fontId="3" numFmtId="3" xfId="0" applyAlignment="1" applyFont="1" applyNumberFormat="1">
      <alignment readingOrder="0"/>
    </xf>
    <xf borderId="0" fillId="0" fontId="3" numFmtId="3" xfId="0" applyFont="1" applyNumberFormat="1"/>
    <xf borderId="0" fillId="0" fontId="4" numFmtId="4" xfId="0" applyAlignment="1" applyFont="1" applyNumberFormat="1">
      <alignment horizontal="right" readingOrder="0" shrinkToFit="0" wrapText="0"/>
    </xf>
    <xf borderId="0" fillId="0" fontId="4" numFmtId="4" xfId="0" applyAlignment="1" applyFont="1" applyNumberFormat="1">
      <alignment horizontal="right" readingOrder="0" shrinkToFit="0" wrapText="0"/>
    </xf>
    <xf borderId="0" fillId="3" fontId="4" numFmtId="4" xfId="0" applyAlignment="1" applyFill="1" applyFont="1" applyNumberFormat="1">
      <alignment horizontal="right" readingOrder="0" shrinkToFit="0" wrapText="0"/>
    </xf>
    <xf borderId="0" fillId="3" fontId="4" numFmtId="4" xfId="0" applyAlignment="1" applyFont="1" applyNumberFormat="1">
      <alignment horizontal="right" readingOrder="0" shrinkToFit="0" wrapText="0"/>
    </xf>
    <xf borderId="1" fillId="0" fontId="5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shrinkToFit="0" wrapText="0"/>
    </xf>
    <xf borderId="0" fillId="0" fontId="2" numFmtId="0" xfId="0" applyAlignment="1" applyFont="1">
      <alignment shrinkToFit="0" wrapText="0"/>
    </xf>
    <xf borderId="0" fillId="4" fontId="1" numFmtId="0" xfId="0" applyAlignment="1" applyFill="1" applyFont="1">
      <alignment horizontal="center" readingOrder="0" vertical="top"/>
    </xf>
    <xf borderId="0" fillId="5" fontId="1" numFmtId="0" xfId="0" applyAlignment="1" applyFill="1" applyFont="1">
      <alignment horizontal="center" readingOrder="0" shrinkToFit="0" vertical="top" wrapText="1"/>
    </xf>
    <xf borderId="0" fillId="5" fontId="6" numFmtId="0" xfId="0" applyAlignment="1" applyFont="1">
      <alignment horizontal="center" readingOrder="0" shrinkToFit="0" vertical="top" wrapText="1"/>
    </xf>
    <xf borderId="0" fillId="5" fontId="7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8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top" wrapText="0"/>
    </xf>
    <xf borderId="1" fillId="0" fontId="5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shrinkToFit="0" wrapText="1"/>
    </xf>
    <xf borderId="2" fillId="0" fontId="5" numFmtId="0" xfId="0" applyAlignment="1" applyBorder="1" applyFont="1">
      <alignment horizontal="center" readingOrder="0" shrinkToFit="0" vertical="top" wrapText="1"/>
    </xf>
    <xf borderId="3" fillId="0" fontId="5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wrapText="1"/>
    </xf>
    <xf borderId="0" fillId="0" fontId="9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top" wrapText="1"/>
    </xf>
    <xf borderId="0" fillId="6" fontId="10" numFmtId="0" xfId="0" applyAlignment="1" applyFill="1" applyFont="1">
      <alignment horizontal="right" readingOrder="0" shrinkToFit="0" wrapText="0"/>
    </xf>
    <xf borderId="4" fillId="0" fontId="11" numFmtId="0" xfId="0" applyBorder="1" applyFont="1"/>
    <xf borderId="5" fillId="0" fontId="11" numFmtId="0" xfId="0" applyBorder="1" applyFont="1"/>
    <xf borderId="0" fillId="0" fontId="11" numFmtId="0" xfId="0" applyFont="1"/>
    <xf borderId="6" fillId="0" fontId="11" numFmtId="0" xfId="0" applyBorder="1" applyFont="1"/>
    <xf borderId="6" fillId="0" fontId="12" numFmtId="0" xfId="0" applyBorder="1" applyFont="1"/>
    <xf borderId="0" fillId="0" fontId="12" numFmtId="0" xfId="0" applyFont="1"/>
    <xf borderId="0" fillId="0" fontId="12" numFmtId="0" xfId="0" applyFont="1"/>
    <xf borderId="0" fillId="0" fontId="2" numFmtId="4" xfId="0" applyAlignment="1" applyFont="1" applyNumberFormat="1">
      <alignment readingOrder="0"/>
    </xf>
    <xf borderId="6" fillId="0" fontId="12" numFmtId="0" xfId="0" applyAlignment="1" applyBorder="1" applyFont="1">
      <alignment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left" readingOrder="0" shrinkToFit="0" wrapText="0"/>
    </xf>
    <xf borderId="7" fillId="0" fontId="14" numFmtId="0" xfId="0" applyAlignment="1" applyBorder="1" applyFont="1">
      <alignment horizontal="left" readingOrder="0" shrinkToFit="0" wrapText="0"/>
    </xf>
    <xf borderId="8" fillId="0" fontId="13" numFmtId="0" xfId="0" applyAlignment="1" applyBorder="1" applyFont="1">
      <alignment horizontal="center" readingOrder="0" shrinkToFit="0" wrapText="0"/>
    </xf>
    <xf borderId="9" fillId="0" fontId="15" numFmtId="0" xfId="0" applyBorder="1" applyFont="1"/>
    <xf borderId="7" fillId="0" fontId="16" numFmtId="0" xfId="0" applyAlignment="1" applyBorder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0"/>
    </xf>
    <xf borderId="2" fillId="0" fontId="13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2" numFmtId="4" xfId="0" applyFont="1" applyNumberFormat="1"/>
  </cellXfs>
  <cellStyles count="1">
    <cellStyle xfId="0" name="Normal" builtinId="0"/>
  </cellStyles>
  <dxfs count="2">
    <dxf>
      <font>
        <color rgb="FF008000"/>
      </font>
      <fill>
        <patternFill patternType="none"/>
      </fill>
      <border/>
    </dxf>
    <dxf>
      <font>
        <color rgb="FFCC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Annual – Current prices, million euro – Gross domestic product at market prices – Germany (Eurostat/nama_10_gdp/A.CP_MEUR.B1GQ.DE)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(расходы)'!$B$3:$B$36</c:f>
              <c:numCache/>
            </c:numRef>
          </c:val>
          <c:smooth val="0"/>
        </c:ser>
        <c:ser>
          <c:idx val="1"/>
          <c:order val="1"/>
          <c:tx>
            <c:v>Annual – Current prices, million euro – Household and NPISH final consumption expenditure – Germany (Eurostat/nama_10_gdp/A.CP_MEUR.P31_S14_S15.DE)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(расходы)'!$C$3:$C$36</c:f>
              <c:numCache/>
            </c:numRef>
          </c:val>
          <c:smooth val="0"/>
        </c:ser>
        <c:ser>
          <c:idx val="2"/>
          <c:order val="2"/>
          <c:tx>
            <c:v>Annual – Current prices, million euro – Final consumption expenditure of general government – Germany (Eurostat/nama_10_gdp/A.CP_MEUR.P3_S13.DE)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(расходы)'!$D$3:$D$36</c:f>
              <c:numCache/>
            </c:numRef>
          </c:val>
          <c:smooth val="0"/>
        </c:ser>
        <c:ser>
          <c:idx val="3"/>
          <c:order val="3"/>
          <c:tx>
            <c:v>Annual – Current prices, million euro – Gross fixed capital formation – Germany (Eurostat/nama_10_gdp/A.CP_MEUR.P51G.DE)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(расходы)'!$E$3:$E$36</c:f>
              <c:numCache/>
            </c:numRef>
          </c:val>
          <c:smooth val="0"/>
        </c:ser>
        <c:ser>
          <c:idx val="4"/>
          <c:order val="4"/>
          <c:tx>
            <c:v>Annual – Current prices, million euro – Changes in inventories and acquisitions less disposals of valuables – Germany (Eurostat/nama_10_gdp/A.CP_MEUR.P52_P53.DE)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(расходы)'!$F$3:$F$36</c:f>
              <c:numCache/>
            </c:numRef>
          </c:val>
          <c:smooth val="0"/>
        </c:ser>
        <c:ser>
          <c:idx val="5"/>
          <c:order val="5"/>
          <c:tx>
            <c:v>Annual – Current prices, million euro – Exports of goods and services – Germany (Eurostat/nama_10_gdp/A.CP_MEUR.P6.DE)</c:v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(расходы)'!$G$3:$G$36</c:f>
              <c:numCache/>
            </c:numRef>
          </c:val>
          <c:smooth val="0"/>
        </c:ser>
        <c:ser>
          <c:idx val="6"/>
          <c:order val="6"/>
          <c:tx>
            <c:v>Annual – Current prices, million euro – Imports of goods and services – Germany (Eurostat/nama_10_gdp/A.CP_MEUR.P7.DE)</c:v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'ВВП (расходы)'!$A$3:$A$36</c:f>
            </c:strRef>
          </c:cat>
          <c:val>
            <c:numRef>
              <c:f>'ВВП (расходы)'!$H$3:$H$36</c:f>
              <c:numCache/>
            </c:numRef>
          </c:val>
          <c:smooth val="0"/>
        </c:ser>
        <c:axId val="154416523"/>
        <c:axId val="920719465"/>
      </c:lineChart>
      <c:catAx>
        <c:axId val="154416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719465"/>
      </c:catAx>
      <c:valAx>
        <c:axId val="9207194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4165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'ВВП (расходы)'!$L$7:$L$36</c:f>
              <c:numCache/>
            </c:numRef>
          </c:val>
          <c:smooth val="0"/>
        </c:ser>
        <c:axId val="623609243"/>
        <c:axId val="595809714"/>
      </c:lineChart>
      <c:catAx>
        <c:axId val="623609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809714"/>
      </c:catAx>
      <c:valAx>
        <c:axId val="5958097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609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period/Y/2598408,192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'Динам модель'!$B$3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'Динам модель'!$B$4:$B$32</c:f>
              <c:numCache/>
            </c:numRef>
          </c:val>
          <c:smooth val="0"/>
        </c:ser>
        <c:axId val="1427670178"/>
        <c:axId val="566346369"/>
      </c:lineChart>
      <c:catAx>
        <c:axId val="14276701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346369"/>
      </c:catAx>
      <c:valAx>
        <c:axId val="566346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period/Y/2598408,192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76701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Annual – Current prices, million euro – Operating surplus and mixed income, gross – Germany (Eurostat/nama_10_gdp/A.CP_MEUR.B2A3G.DE)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'ВВП (доходы)'!$A$3:$A$36</c:f>
            </c:strRef>
          </c:cat>
          <c:val>
            <c:numRef>
              <c:f>'ВВП (доходы)'!$B$3:$B$36</c:f>
              <c:numCache/>
            </c:numRef>
          </c:val>
          <c:smooth val="0"/>
        </c:ser>
        <c:ser>
          <c:idx val="1"/>
          <c:order val="1"/>
          <c:tx>
            <c:v>Annual – Current prices, million euro – Compensation of employees – Germany (Eurostat/nama_10_gdp/A.CP_MEUR.D1.DE)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'ВВП (доходы)'!$A$3:$A$36</c:f>
            </c:strRef>
          </c:cat>
          <c:val>
            <c:numRef>
              <c:f>'ВВП (доходы)'!$C$3:$C$36</c:f>
              <c:numCache/>
            </c:numRef>
          </c:val>
          <c:smooth val="0"/>
        </c:ser>
        <c:ser>
          <c:idx val="2"/>
          <c:order val="2"/>
          <c:tx>
            <c:v>Annual – Current prices, million euro – Taxes on production and imports less subsidies – Germany (Eurostat/nama_10_gdp/A.CP_MEUR.D2X3.DE)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'ВВП (доходы)'!$A$3:$A$36</c:f>
            </c:strRef>
          </c:cat>
          <c:val>
            <c:numRef>
              <c:f>'ВВП (доходы)'!$D$3:$D$36</c:f>
              <c:numCache/>
            </c:numRef>
          </c:val>
          <c:smooth val="0"/>
        </c:ser>
        <c:axId val="960124455"/>
        <c:axId val="1479903073"/>
      </c:lineChart>
      <c:catAx>
        <c:axId val="9601244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9903073"/>
      </c:catAx>
      <c:valAx>
        <c:axId val="1479903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1244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Annual – Current prices, million euro – Paid – Saving, gross – Total economy – Germany (Eurostat/nasa_10_nf_tr/A.CP_MEUR.PAID.B8G.S1.DE)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'Секторный Баланс'!$A$3:$A$32</c:f>
            </c:strRef>
          </c:cat>
          <c:val>
            <c:numRef>
              <c:f>'Секторный Баланс'!$B$3:$B$32</c:f>
              <c:numCache/>
            </c:numRef>
          </c:val>
          <c:smooth val="0"/>
        </c:ser>
        <c:ser>
          <c:idx val="1"/>
          <c:order val="1"/>
          <c:tx>
            <c:v>Annual – Current prices, million euro – Paid – Saving, gross – General government – Germany (Eurostat/nasa_10_nf_tr/A.CP_MEUR.PAID.B8G.S13.DE)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'Секторный Баланс'!$A$3:$A$32</c:f>
            </c:strRef>
          </c:cat>
          <c:val>
            <c:numRef>
              <c:f>'Секторный Баланс'!$C$3:$C$32</c:f>
              <c:numCache/>
            </c:numRef>
          </c:val>
          <c:smooth val="0"/>
        </c:ser>
        <c:axId val="518994163"/>
        <c:axId val="342693045"/>
      </c:lineChart>
      <c:catAx>
        <c:axId val="518994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2693045"/>
      </c:catAx>
      <c:valAx>
        <c:axId val="342693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8994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Annual – Million euro – General government – Interest, expenditure – Germany (Eurostat/gov_10a_main/A.MIO_EUR.S13.D41PAY.DE)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'ГосБюджет'!$A$3:$A$32</c:f>
            </c:strRef>
          </c:cat>
          <c:val>
            <c:numRef>
              <c:f>'ГосБюджет'!$B$3:$B$32</c:f>
              <c:numCache/>
            </c:numRef>
          </c:val>
          <c:smooth val="0"/>
        </c:ser>
        <c:ser>
          <c:idx val="1"/>
          <c:order val="1"/>
          <c:tx>
            <c:v>Annual – Million euro – General government – Total general government expenditure – Germany (Eurostat/gov_10a_main/A.MIO_EUR.S13.TE.DE)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'ГосБюджет'!$A$3:$A$32</c:f>
            </c:strRef>
          </c:cat>
          <c:val>
            <c:numRef>
              <c:f>'ГосБюджет'!$C$3:$C$32</c:f>
              <c:numCache/>
            </c:numRef>
          </c:val>
          <c:smooth val="0"/>
        </c:ser>
        <c:ser>
          <c:idx val="2"/>
          <c:order val="2"/>
          <c:tx>
            <c:v>Annual – Million euro – General government – Total general government revenue – Germany (Eurostat/gov_10a_main/A.MIO_EUR.S13.TR.DE)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'ГосБюджет'!$A$3:$A$32</c:f>
            </c:strRef>
          </c:cat>
          <c:val>
            <c:numRef>
              <c:f>'ГосБюджет'!$F$3:$F$32</c:f>
              <c:numCache/>
            </c:numRef>
          </c:val>
          <c:smooth val="0"/>
        </c:ser>
        <c:axId val="850206413"/>
        <c:axId val="1891177459"/>
      </c:lineChart>
      <c:catAx>
        <c:axId val="8502064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177459"/>
      </c:catAx>
      <c:valAx>
        <c:axId val="18911774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02064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Annual – Thousand persons – Total – From 20 to 64 years – Total – Germany (Eurostat/lfsa_agan/A.THS_PER.T.Y20-64.TOTAL.DE)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'Рынок труда'!$A$3:$A$32</c:f>
            </c:strRef>
          </c:cat>
          <c:val>
            <c:numRef>
              <c:f>'Рынок труда'!$B$3:$B$32</c:f>
              <c:numCache/>
            </c:numRef>
          </c:val>
          <c:smooth val="0"/>
        </c:ser>
        <c:axId val="1423842084"/>
        <c:axId val="1137866864"/>
      </c:lineChart>
      <c:catAx>
        <c:axId val="14238420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7866864"/>
      </c:catAx>
      <c:valAx>
        <c:axId val="1137866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38420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'Рынок труда'!$L$2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'Рынок труда'!$L$3:$L$32</c:f>
              <c:numCache/>
            </c:numRef>
          </c:val>
          <c:smooth val="0"/>
        </c:ser>
        <c:axId val="1530105896"/>
        <c:axId val="1957196660"/>
      </c:lineChart>
      <c:catAx>
        <c:axId val="1530105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7196660"/>
      </c:catAx>
      <c:valAx>
        <c:axId val="19571966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1058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Естественный уровень безработицы u*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'Рынок труда'!$M$2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'Рынок труда'!$M$3:$M$32</c:f>
              <c:numCache/>
            </c:numRef>
          </c:val>
          <c:smooth val="0"/>
        </c:ser>
        <c:axId val="2070222548"/>
        <c:axId val="301472209"/>
      </c:lineChart>
      <c:catAx>
        <c:axId val="20702225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1472209"/>
      </c:catAx>
      <c:valAx>
        <c:axId val="3014722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Естественный уровень безработицы u*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2225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period/Y/2598408,192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'Динам модель'!$B$3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'Динам модель'!$B$4:$B$32</c:f>
              <c:numCache/>
            </c:numRef>
          </c:val>
          <c:smooth val="0"/>
        </c:ser>
        <c:axId val="957268593"/>
        <c:axId val="1925326504"/>
      </c:lineChart>
      <c:catAx>
        <c:axId val="957268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5326504"/>
      </c:catAx>
      <c:valAx>
        <c:axId val="19253265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period/Y/2598408,192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2685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'Эконом рост'!$C$2:$AE$2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'Эконом рост'!$C$10:$AE$10</c:f>
              <c:numCache/>
            </c:numRef>
          </c:val>
          <c:smooth val="0"/>
        </c:ser>
        <c:axId val="1111984848"/>
        <c:axId val="1644300546"/>
      </c:lineChart>
      <c:catAx>
        <c:axId val="11119848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300546"/>
      </c:catAx>
      <c:valAx>
        <c:axId val="16443005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984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'Эконом рост'!$AF$2:$DC$2</c:f>
              <c:numCache/>
            </c:numRef>
          </c:val>
          <c:smooth val="0"/>
        </c:ser>
        <c:axId val="1510426466"/>
        <c:axId val="1391623895"/>
      </c:lineChart>
      <c:catAx>
        <c:axId val="1510426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623895"/>
      </c:catAx>
      <c:valAx>
        <c:axId val="1391623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4264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'Эконом рост'!$AF$2:$DC$2</c:f>
              <c:numCache/>
            </c:numRef>
          </c:val>
          <c:smooth val="0"/>
        </c:ser>
        <c:axId val="282121940"/>
        <c:axId val="556091633"/>
      </c:lineChart>
      <c:catAx>
        <c:axId val="2821219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091633"/>
      </c:catAx>
      <c:valAx>
        <c:axId val="556091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1219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image" Target="../media/image7.png"/><Relationship Id="rId5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200025</xdr:colOff>
      <xdr:row>0</xdr:row>
      <xdr:rowOff>76200</xdr:rowOff>
    </xdr:from>
    <xdr:ext cx="4371975" cy="28765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190500</xdr:colOff>
      <xdr:row>16</xdr:row>
      <xdr:rowOff>85725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190500</xdr:colOff>
      <xdr:row>35</xdr:row>
      <xdr:rowOff>47625</xdr:rowOff>
    </xdr:from>
    <xdr:ext cx="5715000" cy="35337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0</xdr:row>
      <xdr:rowOff>142875</xdr:rowOff>
    </xdr:from>
    <xdr:ext cx="4371975" cy="28765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219075</xdr:colOff>
      <xdr:row>0</xdr:row>
      <xdr:rowOff>76200</xdr:rowOff>
    </xdr:from>
    <xdr:ext cx="4371975" cy="2876550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247650</xdr:colOff>
      <xdr:row>0</xdr:row>
      <xdr:rowOff>133350</xdr:rowOff>
    </xdr:from>
    <xdr:ext cx="4371975" cy="28765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257175</xdr:colOff>
      <xdr:row>2</xdr:row>
      <xdr:rowOff>152400</xdr:rowOff>
    </xdr:from>
    <xdr:ext cx="4371975" cy="287655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238125</xdr:colOff>
      <xdr:row>38</xdr:row>
      <xdr:rowOff>190500</xdr:rowOff>
    </xdr:from>
    <xdr:ext cx="5715000" cy="35337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38</xdr:row>
      <xdr:rowOff>190500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485775</xdr:colOff>
      <xdr:row>34</xdr:row>
      <xdr:rowOff>57150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247650</xdr:colOff>
      <xdr:row>7</xdr:row>
      <xdr:rowOff>66675</xdr:rowOff>
    </xdr:from>
    <xdr:ext cx="7229475" cy="3533775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571500</xdr:colOff>
      <xdr:row>25</xdr:row>
      <xdr:rowOff>133350</xdr:rowOff>
    </xdr:from>
    <xdr:ext cx="5715000" cy="3533775"/>
    <xdr:graphicFrame>
      <xdr:nvGraphicFramePr>
        <xdr:cNvPr id="11" name="Chart 1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87</xdr:col>
      <xdr:colOff>142875</xdr:colOff>
      <xdr:row>28</xdr:row>
      <xdr:rowOff>76200</xdr:rowOff>
    </xdr:from>
    <xdr:ext cx="5715000" cy="3533775"/>
    <xdr:graphicFrame>
      <xdr:nvGraphicFramePr>
        <xdr:cNvPr id="12" name="Chart 1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25</xdr:col>
      <xdr:colOff>47625</xdr:colOff>
      <xdr:row>25</xdr:row>
      <xdr:rowOff>190500</xdr:rowOff>
    </xdr:from>
    <xdr:ext cx="5715000" cy="35337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257175</xdr:colOff>
      <xdr:row>0</xdr:row>
      <xdr:rowOff>171450</xdr:rowOff>
    </xdr:from>
    <xdr:ext cx="647700" cy="209550"/>
    <xdr:pic>
      <xdr:nvPicPr>
        <xdr:cNvPr id="0" name="image7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20</xdr:row>
      <xdr:rowOff>180975</xdr:rowOff>
    </xdr:from>
    <xdr:ext cx="990600" cy="209550"/>
    <xdr:pic>
      <xdr:nvPicPr>
        <xdr:cNvPr id="0" name="image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266700</xdr:colOff>
      <xdr:row>82</xdr:row>
      <xdr:rowOff>123825</xdr:rowOff>
    </xdr:from>
    <xdr:ext cx="4381500" cy="1514475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514350</xdr:colOff>
      <xdr:row>1</xdr:row>
      <xdr:rowOff>200025</xdr:rowOff>
    </xdr:from>
    <xdr:ext cx="2038350" cy="5810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609600</xdr:colOff>
      <xdr:row>1</xdr:row>
      <xdr:rowOff>219075</xdr:rowOff>
    </xdr:from>
    <xdr:ext cx="2124075" cy="533400"/>
    <xdr:pic>
      <xdr:nvPicPr>
        <xdr:cNvPr id="0" name="image4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</xdr:colOff>
      <xdr:row>1</xdr:row>
      <xdr:rowOff>285750</xdr:rowOff>
    </xdr:from>
    <xdr:ext cx="3257550" cy="409575"/>
    <xdr:pic>
      <xdr:nvPicPr>
        <xdr:cNvPr id="0" name="image6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Иван Каменев" id="{adb14212-2372-4347-a110-3d57bbd0ff5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09T22:47:19.00" personId="{adb14212-2372-4347-a110-3d57bbd0ff5a}" id="{adc6c2d0-51d5-46cc-a016-6fb0085040c4}" done="0">
    <x18tc:text xml:space="preserve">Исходя из названия не похоже, что это безработица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195.88"/>
    <col customWidth="1" min="3" max="26" width="7.63"/>
  </cols>
  <sheetData>
    <row r="1" ht="14.25" customHeight="1">
      <c r="B1" s="1" t="s">
        <v>0</v>
      </c>
    </row>
    <row r="2" ht="14.25" customHeight="1">
      <c r="A2" s="2" t="s">
        <v>1</v>
      </c>
      <c r="B2" s="2" t="s">
        <v>2</v>
      </c>
    </row>
    <row r="3" ht="14.25" customHeight="1">
      <c r="A3" s="2" t="s">
        <v>3</v>
      </c>
      <c r="B3" s="2" t="s">
        <v>4</v>
      </c>
    </row>
    <row r="4" ht="14.25" customHeight="1">
      <c r="A4" s="2" t="s">
        <v>5</v>
      </c>
      <c r="B4" s="2" t="s">
        <v>6</v>
      </c>
    </row>
    <row r="5" ht="14.25" customHeight="1">
      <c r="A5" s="2" t="s">
        <v>7</v>
      </c>
      <c r="B5" s="2" t="s">
        <v>8</v>
      </c>
    </row>
    <row r="6" ht="14.25" customHeight="1">
      <c r="A6" s="2" t="s">
        <v>9</v>
      </c>
      <c r="B6" s="2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9.75"/>
    <col customWidth="1" min="3" max="3" width="28.25"/>
    <col customWidth="1" min="4" max="5" width="9.25"/>
    <col customWidth="1" min="6" max="6" width="8.75"/>
    <col customWidth="1" min="7" max="7" width="9.5"/>
    <col customWidth="1" min="8" max="8" width="10.13"/>
    <col customWidth="1" min="9" max="9" width="7.63"/>
    <col customWidth="1" min="10" max="10" width="16.25"/>
    <col customWidth="1" min="11" max="11" width="9.25"/>
    <col customWidth="1" min="12" max="26" width="7.63"/>
  </cols>
  <sheetData>
    <row r="1">
      <c r="A1" s="1" t="s">
        <v>11</v>
      </c>
      <c r="B1" s="3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4" t="s">
        <v>18</v>
      </c>
    </row>
    <row r="2">
      <c r="A2" s="5"/>
      <c r="B2" s="6" t="s">
        <v>19</v>
      </c>
      <c r="C2" s="6" t="s">
        <v>20</v>
      </c>
      <c r="D2" s="6" t="s">
        <v>21</v>
      </c>
      <c r="E2" s="5"/>
      <c r="F2" s="6" t="s">
        <v>22</v>
      </c>
      <c r="G2" s="6" t="s">
        <v>23</v>
      </c>
      <c r="H2" s="6" t="s">
        <v>24</v>
      </c>
      <c r="J2" s="7" t="s">
        <v>25</v>
      </c>
      <c r="K2" s="7" t="s">
        <v>26</v>
      </c>
    </row>
    <row r="3">
      <c r="A3" s="2" t="s">
        <v>27</v>
      </c>
      <c r="B3" s="2">
        <v>1517932.9</v>
      </c>
      <c r="C3" s="2">
        <v>841942.9</v>
      </c>
      <c r="D3" s="2">
        <v>285553.8</v>
      </c>
      <c r="E3" s="2">
        <v>377047.0</v>
      </c>
      <c r="F3" s="2">
        <v>21030.2</v>
      </c>
      <c r="G3" s="2">
        <v>357716.2</v>
      </c>
      <c r="H3" s="2">
        <v>365357.4</v>
      </c>
      <c r="J3" s="2">
        <f t="shared" ref="J3:J36" si="1">C3+F3+(D3+E3)+(G3-H3)</f>
        <v>1517932.7</v>
      </c>
      <c r="K3" s="2" t="str">
        <f t="shared" ref="K3:K36" si="2">IF(INT(J3)=INT(B3),"верно","неверно")</f>
        <v>верно</v>
      </c>
    </row>
    <row r="4">
      <c r="A4" s="2" t="s">
        <v>28</v>
      </c>
      <c r="B4" s="2">
        <v>1655317.2</v>
      </c>
      <c r="C4" s="2">
        <v>918819.2</v>
      </c>
      <c r="D4" s="2">
        <v>320475.5</v>
      </c>
      <c r="E4" s="2">
        <v>413970.1</v>
      </c>
      <c r="F4" s="2">
        <v>10410.8</v>
      </c>
      <c r="G4" s="2">
        <v>365652.1</v>
      </c>
      <c r="H4" s="2">
        <v>374010.5</v>
      </c>
      <c r="J4" s="2">
        <f t="shared" si="1"/>
        <v>1655317.2</v>
      </c>
      <c r="K4" s="2" t="str">
        <f t="shared" si="2"/>
        <v>верно</v>
      </c>
    </row>
    <row r="5">
      <c r="A5" s="2" t="s">
        <v>29</v>
      </c>
      <c r="B5" s="2">
        <v>1774986.2</v>
      </c>
      <c r="C5" s="2">
        <v>999493.6</v>
      </c>
      <c r="D5" s="2">
        <v>346620.0</v>
      </c>
      <c r="E5" s="2">
        <v>425317.3</v>
      </c>
      <c r="F5" s="2">
        <v>3401.8</v>
      </c>
      <c r="G5" s="2">
        <v>352849.9</v>
      </c>
      <c r="H5" s="2">
        <v>352696.4</v>
      </c>
      <c r="J5" s="2">
        <f t="shared" si="1"/>
        <v>1774986.2</v>
      </c>
      <c r="K5" s="2" t="str">
        <f t="shared" si="2"/>
        <v>верно</v>
      </c>
    </row>
    <row r="6">
      <c r="A6" s="2" t="s">
        <v>30</v>
      </c>
      <c r="B6" s="2">
        <v>1867918.1</v>
      </c>
      <c r="C6" s="2">
        <v>1043437.4</v>
      </c>
      <c r="D6" s="2">
        <v>363721.8</v>
      </c>
      <c r="E6" s="2">
        <v>448761.9</v>
      </c>
      <c r="F6" s="2">
        <v>9836.4</v>
      </c>
      <c r="G6" s="2">
        <v>384897.7</v>
      </c>
      <c r="H6" s="2">
        <v>382737.1</v>
      </c>
      <c r="J6" s="2">
        <f t="shared" si="1"/>
        <v>1867918.1</v>
      </c>
      <c r="K6" s="2" t="str">
        <f t="shared" si="2"/>
        <v>верно</v>
      </c>
    </row>
    <row r="7">
      <c r="A7" s="2" t="s">
        <v>31</v>
      </c>
      <c r="B7" s="2">
        <v>1983157.1</v>
      </c>
      <c r="C7" s="2">
        <v>1101226.1</v>
      </c>
      <c r="D7" s="2">
        <v>389434.4</v>
      </c>
      <c r="E7" s="2">
        <v>465341.0</v>
      </c>
      <c r="F7" s="2">
        <v>20077.6</v>
      </c>
      <c r="G7" s="2">
        <v>426012.5</v>
      </c>
      <c r="H7" s="2">
        <v>418934.4</v>
      </c>
      <c r="J7" s="2">
        <f t="shared" si="1"/>
        <v>1983157.2</v>
      </c>
      <c r="K7" s="2" t="str">
        <f t="shared" si="2"/>
        <v>верно</v>
      </c>
      <c r="L7" s="2">
        <f>H7/'Рынок труда'!H3</f>
        <v>5489.038547</v>
      </c>
    </row>
    <row r="8">
      <c r="A8" s="2" t="s">
        <v>32</v>
      </c>
      <c r="B8" s="2">
        <v>1975310.3</v>
      </c>
      <c r="C8" s="2">
        <v>1106042.0</v>
      </c>
      <c r="D8" s="2">
        <v>392800.5</v>
      </c>
      <c r="E8" s="2">
        <v>452996.2</v>
      </c>
      <c r="F8" s="2">
        <v>10419.6</v>
      </c>
      <c r="G8" s="2">
        <v>440142.0</v>
      </c>
      <c r="H8" s="2">
        <v>427090.1</v>
      </c>
      <c r="J8" s="2">
        <f t="shared" si="1"/>
        <v>1975310.2</v>
      </c>
      <c r="K8" s="2" t="str">
        <f t="shared" si="2"/>
        <v>верно</v>
      </c>
      <c r="L8" s="2">
        <f>H8/'Рынок труда'!H4</f>
        <v>5538.353109</v>
      </c>
    </row>
    <row r="9">
      <c r="A9" s="2" t="s">
        <v>33</v>
      </c>
      <c r="B9" s="2">
        <v>1958621.6</v>
      </c>
      <c r="C9" s="2">
        <v>1097259.4</v>
      </c>
      <c r="D9" s="2">
        <v>382919.8</v>
      </c>
      <c r="E9" s="2">
        <v>442112.1</v>
      </c>
      <c r="F9" s="2">
        <v>16303.8</v>
      </c>
      <c r="G9" s="2">
        <v>483807.0</v>
      </c>
      <c r="H9" s="2">
        <v>463780.5</v>
      </c>
      <c r="J9" s="2">
        <f t="shared" si="1"/>
        <v>1958621.6</v>
      </c>
      <c r="K9" s="2" t="str">
        <f t="shared" si="2"/>
        <v>верно</v>
      </c>
      <c r="L9" s="2">
        <f>H9/'Рынок труда'!H5</f>
        <v>5904.647018</v>
      </c>
    </row>
    <row r="10">
      <c r="A10" s="2" t="s">
        <v>34</v>
      </c>
      <c r="B10" s="2">
        <v>2008652.6</v>
      </c>
      <c r="C10" s="2">
        <v>1114882.6</v>
      </c>
      <c r="D10" s="2">
        <v>387074.2</v>
      </c>
      <c r="E10" s="2">
        <v>455981.6</v>
      </c>
      <c r="F10" s="2">
        <v>27316.3</v>
      </c>
      <c r="G10" s="2">
        <v>515423.5</v>
      </c>
      <c r="H10" s="2">
        <v>492025.6</v>
      </c>
      <c r="J10" s="2">
        <f t="shared" si="1"/>
        <v>2008652.6</v>
      </c>
      <c r="K10" s="2" t="str">
        <f t="shared" si="2"/>
        <v>верно</v>
      </c>
      <c r="L10" s="2">
        <f>H10/'Рынок труда'!H6</f>
        <v>6135.671085</v>
      </c>
    </row>
    <row r="11">
      <c r="A11" s="2" t="s">
        <v>35</v>
      </c>
      <c r="B11" s="2">
        <v>2077240.0</v>
      </c>
      <c r="C11" s="2">
        <v>1164899.0</v>
      </c>
      <c r="D11" s="2">
        <v>407595.0</v>
      </c>
      <c r="E11" s="2">
        <v>474306.0</v>
      </c>
      <c r="F11" s="2">
        <v>19212.0</v>
      </c>
      <c r="G11" s="2">
        <v>540703.0</v>
      </c>
      <c r="H11" s="2">
        <v>529475.0</v>
      </c>
      <c r="J11" s="2">
        <f t="shared" si="1"/>
        <v>2077240</v>
      </c>
      <c r="K11" s="2" t="str">
        <f t="shared" si="2"/>
        <v>верно</v>
      </c>
      <c r="L11" s="2">
        <f>H11/'Рынок труда'!H7</f>
        <v>6464.896215</v>
      </c>
    </row>
    <row r="12">
      <c r="A12" s="2" t="s">
        <v>36</v>
      </c>
      <c r="B12" s="2">
        <v>2129660.0</v>
      </c>
      <c r="C12" s="2">
        <v>1201814.0</v>
      </c>
      <c r="D12" s="2">
        <v>413966.0</v>
      </c>
      <c r="E12" s="2">
        <v>487329.0</v>
      </c>
      <c r="F12" s="2">
        <v>23022.0</v>
      </c>
      <c r="G12" s="2">
        <v>632097.0</v>
      </c>
      <c r="H12" s="2">
        <v>628568.0</v>
      </c>
      <c r="J12" s="2">
        <f t="shared" si="1"/>
        <v>2129660</v>
      </c>
      <c r="K12" s="2" t="str">
        <f t="shared" si="2"/>
        <v>верно</v>
      </c>
      <c r="L12" s="2">
        <f>H12/'Рынок труда'!H8</f>
        <v>7460.216483</v>
      </c>
    </row>
    <row r="13">
      <c r="A13" s="2" t="s">
        <v>37</v>
      </c>
      <c r="B13" s="2">
        <v>2195530.0</v>
      </c>
      <c r="C13" s="2">
        <v>1238791.0</v>
      </c>
      <c r="D13" s="2">
        <v>422652.0</v>
      </c>
      <c r="E13" s="2">
        <v>472991.0</v>
      </c>
      <c r="F13" s="2">
        <v>26812.0</v>
      </c>
      <c r="G13" s="2">
        <v>670963.0</v>
      </c>
      <c r="H13" s="2">
        <v>636679.0</v>
      </c>
      <c r="J13" s="2">
        <f t="shared" si="1"/>
        <v>2195530</v>
      </c>
      <c r="K13" s="2" t="str">
        <f t="shared" si="2"/>
        <v>верно</v>
      </c>
      <c r="L13" s="2">
        <f>H13/'Рынок труда'!H9</f>
        <v>7434.798856</v>
      </c>
    </row>
    <row r="14">
      <c r="A14" s="2" t="s">
        <v>38</v>
      </c>
      <c r="B14" s="2">
        <v>2223360.0</v>
      </c>
      <c r="C14" s="2">
        <v>1250939.0</v>
      </c>
      <c r="D14" s="2">
        <v>434366.0</v>
      </c>
      <c r="E14" s="2">
        <v>442153.0</v>
      </c>
      <c r="F14" s="2">
        <v>5893.0</v>
      </c>
      <c r="G14" s="2">
        <v>693476.0</v>
      </c>
      <c r="H14" s="2">
        <v>603467.0</v>
      </c>
      <c r="J14" s="2">
        <f t="shared" si="1"/>
        <v>2223360</v>
      </c>
      <c r="K14" s="2" t="str">
        <f t="shared" si="2"/>
        <v>верно</v>
      </c>
      <c r="L14" s="2">
        <f>H14/'Рынок труда'!H10</f>
        <v>7063.132761</v>
      </c>
    </row>
    <row r="15">
      <c r="A15" s="2" t="s">
        <v>39</v>
      </c>
      <c r="B15" s="2">
        <v>2240810.0</v>
      </c>
      <c r="C15" s="2">
        <v>1282424.0</v>
      </c>
      <c r="D15" s="2">
        <v>438568.0</v>
      </c>
      <c r="E15" s="2">
        <v>431667.0</v>
      </c>
      <c r="F15" s="2">
        <v>7008.0</v>
      </c>
      <c r="G15" s="2">
        <v>700653.0</v>
      </c>
      <c r="H15" s="2">
        <v>619510.0</v>
      </c>
      <c r="J15" s="2">
        <f t="shared" si="1"/>
        <v>2240810</v>
      </c>
      <c r="K15" s="2" t="str">
        <f t="shared" si="2"/>
        <v>верно</v>
      </c>
      <c r="L15" s="2">
        <f>H15/'Рынок труда'!H11</f>
        <v>7289.467801</v>
      </c>
    </row>
    <row r="16">
      <c r="A16" s="2" t="s">
        <v>40</v>
      </c>
      <c r="B16" s="2">
        <v>2293040.0</v>
      </c>
      <c r="C16" s="2">
        <v>1306221.0</v>
      </c>
      <c r="D16" s="2">
        <v>436826.0</v>
      </c>
      <c r="E16" s="2">
        <v>431813.0</v>
      </c>
      <c r="F16" s="2">
        <v>4355.0</v>
      </c>
      <c r="G16" s="2">
        <v>778148.0</v>
      </c>
      <c r="H16" s="2">
        <v>664323.0</v>
      </c>
      <c r="J16" s="2">
        <f t="shared" si="1"/>
        <v>2293040</v>
      </c>
      <c r="K16" s="2" t="str">
        <f t="shared" si="2"/>
        <v>верно</v>
      </c>
      <c r="L16" s="2">
        <f>H16/'Рынок труда'!H12</f>
        <v>7727.022123</v>
      </c>
    </row>
    <row r="17">
      <c r="A17" s="2" t="s">
        <v>41</v>
      </c>
      <c r="B17" s="2">
        <v>2325710.0</v>
      </c>
      <c r="C17" s="2">
        <v>1334453.0</v>
      </c>
      <c r="D17" s="2">
        <v>440326.0</v>
      </c>
      <c r="E17" s="2">
        <v>436406.0</v>
      </c>
      <c r="F17" s="2">
        <v>-672.0</v>
      </c>
      <c r="G17" s="2">
        <v>836166.0</v>
      </c>
      <c r="H17" s="2">
        <v>720969.0</v>
      </c>
      <c r="J17" s="2">
        <f t="shared" si="1"/>
        <v>2325710</v>
      </c>
      <c r="K17" s="2" t="str">
        <f t="shared" si="2"/>
        <v>верно</v>
      </c>
      <c r="L17" s="2">
        <f>H17/'Рынок труда'!H13</f>
        <v>8312.223298</v>
      </c>
    </row>
    <row r="18">
      <c r="A18" s="2" t="s">
        <v>42</v>
      </c>
      <c r="B18" s="2">
        <v>2426180.0</v>
      </c>
      <c r="C18" s="2">
        <v>1369999.0</v>
      </c>
      <c r="D18" s="2">
        <v>447752.0</v>
      </c>
      <c r="E18" s="2">
        <v>472193.0</v>
      </c>
      <c r="F18" s="2">
        <v>10567.0</v>
      </c>
      <c r="G18" s="2">
        <v>945469.0</v>
      </c>
      <c r="H18" s="2">
        <v>819800.0</v>
      </c>
      <c r="J18" s="2">
        <f t="shared" si="1"/>
        <v>2426180</v>
      </c>
      <c r="K18" s="2" t="str">
        <f t="shared" si="2"/>
        <v>верно</v>
      </c>
      <c r="L18" s="2">
        <f>H18/'Рынок труда'!H14</f>
        <v>9100.79929</v>
      </c>
    </row>
    <row r="19">
      <c r="A19" s="2" t="s">
        <v>43</v>
      </c>
      <c r="B19" s="2">
        <v>2542220.0</v>
      </c>
      <c r="C19" s="2">
        <v>1394366.0</v>
      </c>
      <c r="D19" s="2">
        <v>456952.0</v>
      </c>
      <c r="E19" s="2">
        <v>501203.0</v>
      </c>
      <c r="F19" s="2">
        <v>27257.0</v>
      </c>
      <c r="G19" s="2">
        <v>1033077.0</v>
      </c>
      <c r="H19" s="2">
        <v>870635.0</v>
      </c>
      <c r="J19" s="2">
        <f t="shared" si="1"/>
        <v>2542220</v>
      </c>
      <c r="K19" s="2" t="str">
        <f t="shared" si="2"/>
        <v>верно</v>
      </c>
      <c r="L19" s="2">
        <f>H19/'Рынок труда'!H15</f>
        <v>9393.584653</v>
      </c>
    </row>
    <row r="20">
      <c r="A20" s="2" t="s">
        <v>44</v>
      </c>
      <c r="B20" s="2">
        <v>2589680.0</v>
      </c>
      <c r="C20" s="2">
        <v>1423468.0</v>
      </c>
      <c r="D20" s="2">
        <v>475217.0</v>
      </c>
      <c r="E20" s="2">
        <v>516899.0</v>
      </c>
      <c r="F20" s="2">
        <v>24317.0</v>
      </c>
      <c r="G20" s="2">
        <v>1060281.0</v>
      </c>
      <c r="H20" s="2">
        <v>910502.0</v>
      </c>
      <c r="J20" s="2">
        <f t="shared" si="1"/>
        <v>2589680</v>
      </c>
      <c r="K20" s="2" t="str">
        <f t="shared" si="2"/>
        <v>верно</v>
      </c>
      <c r="L20" s="2">
        <f>H20/'Рынок труда'!H16</f>
        <v>9735.178077</v>
      </c>
    </row>
    <row r="21">
      <c r="A21" s="2" t="s">
        <v>45</v>
      </c>
      <c r="B21" s="2">
        <v>2494870.0</v>
      </c>
      <c r="C21" s="2">
        <v>1427145.0</v>
      </c>
      <c r="D21" s="2">
        <v>498790.0</v>
      </c>
      <c r="E21" s="2">
        <v>469819.0</v>
      </c>
      <c r="F21" s="2">
        <v>-19844.0</v>
      </c>
      <c r="G21" s="2">
        <v>884225.0</v>
      </c>
      <c r="H21" s="2">
        <v>765265.0</v>
      </c>
      <c r="J21" s="2">
        <f t="shared" si="1"/>
        <v>2494870</v>
      </c>
      <c r="K21" s="2" t="str">
        <f t="shared" si="2"/>
        <v>верно</v>
      </c>
      <c r="L21" s="2">
        <f>H21/'Рынок труда'!H17</f>
        <v>8662.625508</v>
      </c>
    </row>
    <row r="22" ht="15.75" customHeight="1">
      <c r="A22" s="2" t="s">
        <v>46</v>
      </c>
      <c r="B22" s="2">
        <v>2616060.0</v>
      </c>
      <c r="C22" s="2">
        <v>1458929.0</v>
      </c>
      <c r="D22" s="2">
        <v>512022.0</v>
      </c>
      <c r="E22" s="2">
        <v>501768.0</v>
      </c>
      <c r="F22" s="2">
        <v>9820.0</v>
      </c>
      <c r="G22" s="2">
        <v>1032906.0</v>
      </c>
      <c r="H22" s="2">
        <v>899385.0</v>
      </c>
      <c r="J22" s="2">
        <f t="shared" si="1"/>
        <v>2616060</v>
      </c>
      <c r="K22" s="2" t="str">
        <f t="shared" si="2"/>
        <v>верно</v>
      </c>
      <c r="L22" s="2">
        <f>H22/'Рынок труда'!H18</f>
        <v>9775.392642</v>
      </c>
    </row>
    <row r="23" ht="15.75" customHeight="1">
      <c r="A23" s="2" t="s">
        <v>47</v>
      </c>
      <c r="B23" s="2">
        <v>2747810.0</v>
      </c>
      <c r="C23" s="2">
        <v>1505962.0</v>
      </c>
      <c r="D23" s="2">
        <v>523421.0</v>
      </c>
      <c r="E23" s="2">
        <v>549605.0</v>
      </c>
      <c r="F23" s="2">
        <v>35480.0</v>
      </c>
      <c r="G23" s="2">
        <v>1143913.0</v>
      </c>
      <c r="H23" s="2">
        <v>1010571.0</v>
      </c>
      <c r="J23" s="2">
        <f t="shared" si="1"/>
        <v>2747810</v>
      </c>
      <c r="K23" s="2" t="str">
        <f t="shared" si="2"/>
        <v>верно</v>
      </c>
      <c r="L23" s="2">
        <f>H23/'Рынок труда'!H19</f>
        <v>10586.10756</v>
      </c>
    </row>
    <row r="24" ht="15.75" customHeight="1">
      <c r="A24" s="2" t="s">
        <v>48</v>
      </c>
      <c r="B24" s="2">
        <v>2800380.0</v>
      </c>
      <c r="C24" s="2">
        <v>1546258.0</v>
      </c>
      <c r="D24" s="2">
        <v>538870.0</v>
      </c>
      <c r="E24" s="2">
        <v>558913.0</v>
      </c>
      <c r="F24" s="2">
        <v>-12724.0</v>
      </c>
      <c r="G24" s="2">
        <v>1194889.0</v>
      </c>
      <c r="H24" s="2">
        <v>1025826.0</v>
      </c>
      <c r="J24" s="2">
        <f t="shared" si="1"/>
        <v>2800380</v>
      </c>
      <c r="K24" s="2" t="str">
        <f t="shared" si="2"/>
        <v>верно</v>
      </c>
      <c r="L24" s="2">
        <f>H24/'Рынок труда'!H20</f>
        <v>10695.15717</v>
      </c>
    </row>
    <row r="25" ht="15.75" customHeight="1">
      <c r="A25" s="2" t="s">
        <v>49</v>
      </c>
      <c r="B25" s="2">
        <v>2867280.0</v>
      </c>
      <c r="C25" s="2">
        <v>1571749.0</v>
      </c>
      <c r="D25" s="2">
        <v>561975.0</v>
      </c>
      <c r="E25" s="2">
        <v>561175.0</v>
      </c>
      <c r="F25" s="2">
        <v>6855.0</v>
      </c>
      <c r="G25" s="2">
        <v>1194757.0</v>
      </c>
      <c r="H25" s="2">
        <v>1029231.0</v>
      </c>
      <c r="J25" s="2">
        <f t="shared" si="1"/>
        <v>2867280</v>
      </c>
      <c r="K25" s="2" t="str">
        <f t="shared" si="2"/>
        <v>верно</v>
      </c>
      <c r="L25" s="2">
        <f>H25/'Рынок труда'!H21</f>
        <v>10689.42203</v>
      </c>
    </row>
    <row r="26" ht="15.75" customHeight="1">
      <c r="A26" s="2" t="s">
        <v>50</v>
      </c>
      <c r="B26" s="2">
        <v>2985170.0</v>
      </c>
      <c r="C26" s="2">
        <v>1604736.0</v>
      </c>
      <c r="D26" s="2">
        <v>583523.0</v>
      </c>
      <c r="E26" s="2">
        <v>590405.0</v>
      </c>
      <c r="F26" s="2">
        <v>11352.0</v>
      </c>
      <c r="G26" s="2">
        <v>1244335.0</v>
      </c>
      <c r="H26" s="2">
        <v>1049181.0</v>
      </c>
      <c r="J26" s="2">
        <f t="shared" si="1"/>
        <v>2985170</v>
      </c>
      <c r="K26" s="2" t="str">
        <f t="shared" si="2"/>
        <v>верно</v>
      </c>
      <c r="L26" s="2">
        <f>H26/'Рынок труда'!H22</f>
        <v>10665.22658</v>
      </c>
    </row>
    <row r="27" ht="15.75" customHeight="1">
      <c r="A27" s="2" t="s">
        <v>51</v>
      </c>
      <c r="B27" s="2">
        <v>3085650.0</v>
      </c>
      <c r="C27" s="2">
        <v>1650306.0</v>
      </c>
      <c r="D27" s="2">
        <v>605942.0</v>
      </c>
      <c r="E27" s="2">
        <v>609619.0</v>
      </c>
      <c r="F27" s="2">
        <v>-9096.0</v>
      </c>
      <c r="G27" s="2">
        <v>1314624.0</v>
      </c>
      <c r="H27" s="2">
        <v>1085745.0</v>
      </c>
      <c r="J27" s="2">
        <f t="shared" si="1"/>
        <v>3085650</v>
      </c>
      <c r="K27" s="2" t="str">
        <f t="shared" si="2"/>
        <v>верно</v>
      </c>
      <c r="L27" s="2">
        <f>H27/'Рынок труда'!H23</f>
        <v>10857.45</v>
      </c>
    </row>
    <row r="28" ht="15.75" customHeight="1">
      <c r="A28" s="2" t="s">
        <v>52</v>
      </c>
      <c r="B28" s="2">
        <v>3196110.0</v>
      </c>
      <c r="C28" s="2">
        <v>1699336.0</v>
      </c>
      <c r="D28" s="2">
        <v>633891.0</v>
      </c>
      <c r="E28" s="2">
        <v>640443.0</v>
      </c>
      <c r="F28" s="2">
        <v>-9695.0</v>
      </c>
      <c r="G28" s="2">
        <v>1330343.0</v>
      </c>
      <c r="H28" s="2">
        <v>1098208.0</v>
      </c>
      <c r="J28" s="2">
        <f t="shared" si="1"/>
        <v>3196110</v>
      </c>
      <c r="K28" s="2" t="str">
        <f t="shared" si="2"/>
        <v>верно</v>
      </c>
      <c r="L28" s="2">
        <f>H28/'Рынок труда'!H24</f>
        <v>10735.69578</v>
      </c>
    </row>
    <row r="29" ht="15.75" customHeight="1">
      <c r="A29" s="2" t="s">
        <v>53</v>
      </c>
      <c r="B29" s="2">
        <v>3331110.0</v>
      </c>
      <c r="C29" s="2">
        <v>1753780.0</v>
      </c>
      <c r="D29" s="2">
        <v>657990.0</v>
      </c>
      <c r="E29" s="2">
        <v>671086.0</v>
      </c>
      <c r="F29" s="2">
        <v>12234.0</v>
      </c>
      <c r="G29" s="2">
        <v>1409925.0</v>
      </c>
      <c r="H29" s="2">
        <v>1173905.0</v>
      </c>
      <c r="J29" s="2">
        <f t="shared" si="1"/>
        <v>3331110</v>
      </c>
      <c r="K29" s="2" t="str">
        <f t="shared" si="2"/>
        <v>верно</v>
      </c>
      <c r="L29" s="2">
        <f>H29/'Рынок труда'!H25</f>
        <v>11172.28022</v>
      </c>
    </row>
    <row r="30" ht="15.75" customHeight="1">
      <c r="A30" s="2" t="s">
        <v>54</v>
      </c>
      <c r="B30" s="2">
        <v>3431130.0</v>
      </c>
      <c r="C30" s="2">
        <v>1808497.0</v>
      </c>
      <c r="D30" s="2">
        <v>680525.0</v>
      </c>
      <c r="E30" s="2">
        <v>714880.0</v>
      </c>
      <c r="F30" s="2">
        <v>21802.0</v>
      </c>
      <c r="G30" s="2">
        <v>1461915.0</v>
      </c>
      <c r="H30" s="2">
        <v>1256489.0</v>
      </c>
      <c r="J30" s="2">
        <f t="shared" si="1"/>
        <v>3431130</v>
      </c>
      <c r="K30" s="2" t="str">
        <f t="shared" si="2"/>
        <v>верно</v>
      </c>
      <c r="L30" s="2">
        <f>H30/'Рынок труда'!H26</f>
        <v>11826.22405</v>
      </c>
    </row>
    <row r="31" ht="15.75" customHeight="1">
      <c r="A31" s="2" t="s">
        <v>55</v>
      </c>
      <c r="B31" s="2">
        <v>3534880.0</v>
      </c>
      <c r="C31" s="2">
        <v>1865115.0</v>
      </c>
      <c r="D31" s="2">
        <v>717506.0</v>
      </c>
      <c r="E31" s="2">
        <v>748216.0</v>
      </c>
      <c r="F31" s="2">
        <v>4716.0</v>
      </c>
      <c r="G31" s="2">
        <v>1498305.0</v>
      </c>
      <c r="H31" s="2">
        <v>1298978.0</v>
      </c>
      <c r="J31" s="2">
        <f t="shared" si="1"/>
        <v>3534880</v>
      </c>
      <c r="K31" s="2" t="str">
        <f t="shared" si="2"/>
        <v>верно</v>
      </c>
      <c r="L31" s="2">
        <f>H31/'Рынок труда'!H27</f>
        <v>12106.49046</v>
      </c>
    </row>
    <row r="32" ht="15.75" customHeight="1">
      <c r="A32" s="2" t="s">
        <v>56</v>
      </c>
      <c r="B32" s="2">
        <v>3449620.0</v>
      </c>
      <c r="C32" s="2">
        <v>1748769.0</v>
      </c>
      <c r="D32" s="2">
        <v>769045.0</v>
      </c>
      <c r="E32" s="2">
        <v>736476.0</v>
      </c>
      <c r="F32" s="2">
        <v>10944.0</v>
      </c>
      <c r="G32" s="2">
        <v>1351188.0</v>
      </c>
      <c r="H32" s="2">
        <v>1166802.0</v>
      </c>
      <c r="J32" s="2">
        <f t="shared" si="1"/>
        <v>3449620</v>
      </c>
      <c r="K32" s="2" t="str">
        <f t="shared" si="2"/>
        <v>верно</v>
      </c>
      <c r="L32" s="2">
        <f>H32/'Рынок труда'!H28</f>
        <v>11338.96329</v>
      </c>
    </row>
    <row r="33" ht="15.75" customHeight="1">
      <c r="A33" s="2" t="s">
        <v>57</v>
      </c>
      <c r="B33" s="2">
        <v>3676460.0</v>
      </c>
      <c r="C33" s="2">
        <v>1840839.0</v>
      </c>
      <c r="D33" s="2">
        <v>820185.0</v>
      </c>
      <c r="E33" s="2">
        <v>779205.0</v>
      </c>
      <c r="F33" s="2">
        <v>46579.0</v>
      </c>
      <c r="G33" s="2">
        <v>1568289.0</v>
      </c>
      <c r="H33" s="2">
        <v>1378637.0</v>
      </c>
      <c r="J33" s="2">
        <f t="shared" si="1"/>
        <v>3676460</v>
      </c>
      <c r="K33" s="2" t="str">
        <f t="shared" si="2"/>
        <v>верно</v>
      </c>
      <c r="L33" s="2">
        <f>H33/'Рынок труда'!H29</f>
        <v>12923.34877</v>
      </c>
    </row>
    <row r="34" ht="15.75" customHeight="1">
      <c r="A34" s="2" t="s">
        <v>58</v>
      </c>
      <c r="B34" s="2">
        <v>3953850.0</v>
      </c>
      <c r="C34" s="2">
        <v>2075093.0</v>
      </c>
      <c r="D34" s="2">
        <v>869815.0</v>
      </c>
      <c r="E34" s="2">
        <v>858253.0</v>
      </c>
      <c r="F34" s="2">
        <v>51965.0</v>
      </c>
      <c r="G34" s="2">
        <v>1810093.0</v>
      </c>
      <c r="H34" s="2">
        <v>1711369.0</v>
      </c>
      <c r="J34" s="2">
        <f t="shared" si="1"/>
        <v>3953850</v>
      </c>
      <c r="K34" s="2" t="str">
        <f t="shared" si="2"/>
        <v>верно</v>
      </c>
      <c r="L34" s="2">
        <f>H34/'Рынок труда'!H30</f>
        <v>15825.49473</v>
      </c>
    </row>
    <row r="35" ht="15.75" customHeight="1">
      <c r="A35" s="2" t="s">
        <v>59</v>
      </c>
      <c r="B35" s="2">
        <v>4185550.0</v>
      </c>
      <c r="C35" s="2">
        <v>2205628.0</v>
      </c>
      <c r="D35" s="2">
        <v>905151.0</v>
      </c>
      <c r="E35" s="2">
        <v>899880.0</v>
      </c>
      <c r="F35" s="2">
        <v>7235.0</v>
      </c>
      <c r="G35" s="2">
        <v>1816627.0</v>
      </c>
      <c r="H35" s="2">
        <v>1648971.0</v>
      </c>
      <c r="J35" s="2">
        <f t="shared" si="1"/>
        <v>4185550</v>
      </c>
      <c r="K35" s="2" t="str">
        <f t="shared" si="2"/>
        <v>верно</v>
      </c>
      <c r="L35" s="2">
        <f>H35/'Рынок труда'!H31</f>
        <v>15289.34363</v>
      </c>
    </row>
    <row r="36" ht="15.75" customHeight="1">
      <c r="A36" s="2" t="s">
        <v>60</v>
      </c>
      <c r="B36" s="2">
        <v>4305260.0</v>
      </c>
      <c r="C36" s="2">
        <v>2270376.0</v>
      </c>
      <c r="D36" s="2">
        <v>960248.0</v>
      </c>
      <c r="E36" s="2">
        <v>898489.0</v>
      </c>
      <c r="F36" s="2">
        <v>7188.0</v>
      </c>
      <c r="G36" s="2">
        <v>1799605.0</v>
      </c>
      <c r="H36" s="2">
        <v>1630646.0</v>
      </c>
      <c r="J36" s="2">
        <f t="shared" si="1"/>
        <v>4305260</v>
      </c>
      <c r="K36" s="2" t="str">
        <f t="shared" si="2"/>
        <v>верно</v>
      </c>
      <c r="L36" s="2">
        <f>H36/'Рынок труда'!H32</f>
        <v>15155.54771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8.5"/>
    <col customWidth="1" min="3" max="3" width="15.25"/>
    <col customWidth="1" min="4" max="4" width="30.88"/>
    <col customWidth="1" min="5" max="5" width="7.63"/>
    <col customWidth="1" min="6" max="6" width="12.88"/>
    <col customWidth="1" min="7" max="7" width="9.25"/>
    <col customWidth="1" min="8" max="26" width="7.63"/>
  </cols>
  <sheetData>
    <row r="1">
      <c r="A1" s="1" t="s">
        <v>11</v>
      </c>
      <c r="B1" s="1" t="s">
        <v>61</v>
      </c>
      <c r="C1" s="1" t="s">
        <v>62</v>
      </c>
      <c r="D1" s="4" t="s">
        <v>63</v>
      </c>
    </row>
    <row r="2">
      <c r="A2" s="5"/>
      <c r="B2" s="6" t="s">
        <v>64</v>
      </c>
      <c r="C2" s="6" t="s">
        <v>65</v>
      </c>
      <c r="D2" s="6" t="s">
        <v>66</v>
      </c>
      <c r="F2" s="6" t="s">
        <v>67</v>
      </c>
      <c r="G2" s="6" t="s">
        <v>26</v>
      </c>
    </row>
    <row r="3">
      <c r="A3" s="2" t="s">
        <v>27</v>
      </c>
      <c r="B3" s="2">
        <v>576038.4</v>
      </c>
      <c r="C3" s="2">
        <v>823078.6</v>
      </c>
      <c r="D3" s="2">
        <v>118815.9</v>
      </c>
      <c r="F3" s="2">
        <f t="shared" ref="F3:F36" si="1">B3+C3+D3</f>
        <v>1517932.9</v>
      </c>
      <c r="G3" s="2" t="str">
        <f>IF(INT(F3)=INT('ВВП (расходы)'!J3),"верно","неверно")</f>
        <v>верно</v>
      </c>
    </row>
    <row r="4">
      <c r="A4" s="2" t="s">
        <v>28</v>
      </c>
      <c r="B4" s="2">
        <v>614249.3</v>
      </c>
      <c r="C4" s="2">
        <v>906914.7</v>
      </c>
      <c r="D4" s="2">
        <v>134153.2</v>
      </c>
      <c r="F4" s="2">
        <f t="shared" si="1"/>
        <v>1655317.2</v>
      </c>
      <c r="G4" s="2" t="str">
        <f>IF(INT(F4)=INT('ВВП (расходы)'!J4),"верно","неверно")</f>
        <v>верно</v>
      </c>
    </row>
    <row r="5">
      <c r="A5" s="2" t="s">
        <v>29</v>
      </c>
      <c r="B5" s="2">
        <v>655285.6</v>
      </c>
      <c r="C5" s="2">
        <v>969875.1</v>
      </c>
      <c r="D5" s="2">
        <v>149825.5</v>
      </c>
      <c r="F5" s="2">
        <f t="shared" si="1"/>
        <v>1774986.2</v>
      </c>
      <c r="G5" s="2" t="str">
        <f>IF(INT(F5)=INT('ВВП (расходы)'!J5),"верно","неверно")</f>
        <v>верно</v>
      </c>
    </row>
    <row r="6">
      <c r="A6" s="2" t="s">
        <v>30</v>
      </c>
      <c r="B6" s="2">
        <v>704209.7</v>
      </c>
      <c r="C6" s="2">
        <v>1002603.8</v>
      </c>
      <c r="D6" s="2">
        <v>161104.7</v>
      </c>
      <c r="F6" s="2">
        <f t="shared" si="1"/>
        <v>1867918.2</v>
      </c>
      <c r="G6" s="2" t="str">
        <f>IF(INT(F6)=INT('ВВП (расходы)'!J6),"верно","неверно")</f>
        <v>верно</v>
      </c>
    </row>
    <row r="7">
      <c r="A7" s="2" t="s">
        <v>31</v>
      </c>
      <c r="B7" s="2">
        <v>748619.3</v>
      </c>
      <c r="C7" s="2">
        <v>1069362.9</v>
      </c>
      <c r="D7" s="2">
        <v>165174.9</v>
      </c>
      <c r="F7" s="2">
        <f t="shared" si="1"/>
        <v>1983157.1</v>
      </c>
      <c r="G7" s="2" t="str">
        <f>IF(INT(F7)=INT('ВВП (расходы)'!J7),"верно","неверно")</f>
        <v>верно</v>
      </c>
    </row>
    <row r="8">
      <c r="A8" s="2" t="s">
        <v>32</v>
      </c>
      <c r="B8" s="2">
        <v>753667.3</v>
      </c>
      <c r="C8" s="2">
        <v>1059052.9</v>
      </c>
      <c r="D8" s="2">
        <v>162590.1</v>
      </c>
      <c r="F8" s="2">
        <f t="shared" si="1"/>
        <v>1975310.3</v>
      </c>
      <c r="G8" s="2" t="str">
        <f>IF(INT(F8)=INT('ВВП (расходы)'!J8),"верно","неверно")</f>
        <v>верно</v>
      </c>
    </row>
    <row r="9">
      <c r="A9" s="2" t="s">
        <v>33</v>
      </c>
      <c r="B9" s="2">
        <v>760229.1</v>
      </c>
      <c r="C9" s="2">
        <v>1034071.5</v>
      </c>
      <c r="D9" s="2">
        <v>164321.0</v>
      </c>
      <c r="F9" s="2">
        <f t="shared" si="1"/>
        <v>1958621.6</v>
      </c>
      <c r="G9" s="2" t="str">
        <f>IF(INT(F9)=INT('ВВП (расходы)'!J9),"верно","неверно")</f>
        <v>верно</v>
      </c>
    </row>
    <row r="10">
      <c r="A10" s="2" t="s">
        <v>34</v>
      </c>
      <c r="B10" s="2">
        <v>785183.3</v>
      </c>
      <c r="C10" s="2">
        <v>1053703.6</v>
      </c>
      <c r="D10" s="2">
        <v>169765.7</v>
      </c>
      <c r="F10" s="2">
        <f t="shared" si="1"/>
        <v>2008652.6</v>
      </c>
      <c r="G10" s="2" t="str">
        <f>IF(INT(F10)=INT('ВВП (расходы)'!J10),"верно","неверно")</f>
        <v>верно</v>
      </c>
    </row>
    <row r="11">
      <c r="A11" s="2" t="s">
        <v>35</v>
      </c>
      <c r="B11" s="2">
        <v>795641.0</v>
      </c>
      <c r="C11" s="2">
        <v>1090834.0</v>
      </c>
      <c r="D11" s="2">
        <v>190765.0</v>
      </c>
      <c r="F11" s="2">
        <f t="shared" si="1"/>
        <v>2077240</v>
      </c>
      <c r="G11" s="2" t="str">
        <f>IF(INT(F11)=INT('ВВП (расходы)'!J11),"верно","неверно")</f>
        <v>верно</v>
      </c>
    </row>
    <row r="12">
      <c r="A12" s="2" t="s">
        <v>36</v>
      </c>
      <c r="B12" s="2">
        <v>798219.0</v>
      </c>
      <c r="C12" s="2">
        <v>1134632.0</v>
      </c>
      <c r="D12" s="2">
        <v>196809.0</v>
      </c>
      <c r="F12" s="2">
        <f t="shared" si="1"/>
        <v>2129660</v>
      </c>
      <c r="G12" s="2" t="str">
        <f>IF(INT(F12)=INT('ВВП (расходы)'!J12),"верно","неверно")</f>
        <v>верно</v>
      </c>
    </row>
    <row r="13">
      <c r="A13" s="2" t="s">
        <v>37</v>
      </c>
      <c r="B13" s="2">
        <v>842341.0</v>
      </c>
      <c r="C13" s="2">
        <v>1152309.0</v>
      </c>
      <c r="D13" s="2">
        <v>200880.0</v>
      </c>
      <c r="F13" s="2">
        <f t="shared" si="1"/>
        <v>2195530</v>
      </c>
      <c r="G13" s="2" t="str">
        <f>IF(INT(F13)=INT('ВВП (расходы)'!J13),"верно","неверно")</f>
        <v>верно</v>
      </c>
    </row>
    <row r="14">
      <c r="A14" s="2" t="s">
        <v>38</v>
      </c>
      <c r="B14" s="2">
        <v>859088.0</v>
      </c>
      <c r="C14" s="2">
        <v>1160285.0</v>
      </c>
      <c r="D14" s="2">
        <v>203987.0</v>
      </c>
      <c r="F14" s="2">
        <f t="shared" si="1"/>
        <v>2223360</v>
      </c>
      <c r="G14" s="2" t="str">
        <f>IF(INT(F14)=INT('ВВП (расходы)'!J14),"верно","неверно")</f>
        <v>верно</v>
      </c>
    </row>
    <row r="15">
      <c r="A15" s="2" t="s">
        <v>39</v>
      </c>
      <c r="B15" s="2">
        <v>863698.0</v>
      </c>
      <c r="C15" s="2">
        <v>1165998.0</v>
      </c>
      <c r="D15" s="2">
        <v>211114.0</v>
      </c>
      <c r="F15" s="2">
        <f t="shared" si="1"/>
        <v>2240810</v>
      </c>
      <c r="G15" s="2" t="str">
        <f>IF(INT(F15)=INT('ВВП (расходы)'!J15),"верно","неверно")</f>
        <v>верно</v>
      </c>
    </row>
    <row r="16">
      <c r="A16" s="2" t="s">
        <v>40</v>
      </c>
      <c r="B16" s="2">
        <v>911077.0</v>
      </c>
      <c r="C16" s="2">
        <v>1170964.0</v>
      </c>
      <c r="D16" s="2">
        <v>210999.0</v>
      </c>
      <c r="F16" s="2">
        <f t="shared" si="1"/>
        <v>2293040</v>
      </c>
      <c r="G16" s="2" t="str">
        <f>IF(INT(F16)=INT('ВВП (расходы)'!J16),"верно","неверно")</f>
        <v>верно</v>
      </c>
    </row>
    <row r="17">
      <c r="A17" s="2" t="s">
        <v>41</v>
      </c>
      <c r="B17" s="2">
        <v>942433.0</v>
      </c>
      <c r="C17" s="2">
        <v>1168433.0</v>
      </c>
      <c r="D17" s="2">
        <v>214844.0</v>
      </c>
      <c r="F17" s="2">
        <f t="shared" si="1"/>
        <v>2325710</v>
      </c>
      <c r="G17" s="2" t="str">
        <f>IF(INT(F17)=INT('ВВП (расходы)'!J17),"верно","неверно")</f>
        <v>верно</v>
      </c>
    </row>
    <row r="18">
      <c r="A18" s="2" t="s">
        <v>42</v>
      </c>
      <c r="B18" s="2">
        <v>1013066.0</v>
      </c>
      <c r="C18" s="2">
        <v>1190349.0</v>
      </c>
      <c r="D18" s="2">
        <v>222765.0</v>
      </c>
      <c r="F18" s="2">
        <f t="shared" si="1"/>
        <v>2426180</v>
      </c>
      <c r="G18" s="2" t="str">
        <f>IF(INT(F18)=INT('ВВП (расходы)'!J18),"верно","неверно")</f>
        <v>верно</v>
      </c>
    </row>
    <row r="19">
      <c r="A19" s="2" t="s">
        <v>43</v>
      </c>
      <c r="B19" s="2">
        <v>1069210.0</v>
      </c>
      <c r="C19" s="2">
        <v>1224004.0</v>
      </c>
      <c r="D19" s="2">
        <v>249006.0</v>
      </c>
      <c r="F19" s="2">
        <f t="shared" si="1"/>
        <v>2542220</v>
      </c>
      <c r="G19" s="2" t="str">
        <f>IF(INT(F19)=INT('ВВП (расходы)'!J19),"верно","неверно")</f>
        <v>верно</v>
      </c>
    </row>
    <row r="20">
      <c r="A20" s="2" t="s">
        <v>44</v>
      </c>
      <c r="B20" s="2">
        <v>1064219.0</v>
      </c>
      <c r="C20" s="2">
        <v>1271712.0</v>
      </c>
      <c r="D20" s="2">
        <v>253749.0</v>
      </c>
      <c r="F20" s="2">
        <f t="shared" si="1"/>
        <v>2589680</v>
      </c>
      <c r="G20" s="2" t="str">
        <f>IF(INT(F20)=INT('ВВП (расходы)'!J20),"верно","неверно")</f>
        <v>верно</v>
      </c>
    </row>
    <row r="21">
      <c r="A21" s="2" t="s">
        <v>45</v>
      </c>
      <c r="B21" s="2">
        <v>969190.0</v>
      </c>
      <c r="C21" s="2">
        <v>1278780.0</v>
      </c>
      <c r="D21" s="2">
        <v>246900.0</v>
      </c>
      <c r="F21" s="2">
        <f t="shared" si="1"/>
        <v>2494870</v>
      </c>
      <c r="G21" s="2" t="str">
        <f>IF(INT(F21)=INT('ВВП (расходы)'!J21),"верно","неверно")</f>
        <v>верно</v>
      </c>
    </row>
    <row r="22" ht="15.75" customHeight="1">
      <c r="A22" s="2" t="s">
        <v>46</v>
      </c>
      <c r="B22" s="2">
        <v>1046861.0</v>
      </c>
      <c r="C22" s="2">
        <v>1317103.0</v>
      </c>
      <c r="D22" s="2">
        <v>252096.0</v>
      </c>
      <c r="F22" s="2">
        <f t="shared" si="1"/>
        <v>2616060</v>
      </c>
      <c r="G22" s="2" t="str">
        <f>IF(INT(F22)=INT('ВВП (расходы)'!J22),"верно","неверно")</f>
        <v>верно</v>
      </c>
    </row>
    <row r="23" ht="15.75" customHeight="1">
      <c r="A23" s="2" t="s">
        <v>47</v>
      </c>
      <c r="B23" s="2">
        <v>1100102.0</v>
      </c>
      <c r="C23" s="2">
        <v>1373460.0</v>
      </c>
      <c r="D23" s="2">
        <v>274248.0</v>
      </c>
      <c r="F23" s="2">
        <f t="shared" si="1"/>
        <v>2747810</v>
      </c>
      <c r="G23" s="2" t="str">
        <f>IF(INT(F23)=INT('ВВП (расходы)'!J23),"верно","неверно")</f>
        <v>верно</v>
      </c>
    </row>
    <row r="24" ht="15.75" customHeight="1">
      <c r="A24" s="2" t="s">
        <v>48</v>
      </c>
      <c r="B24" s="2">
        <v>1092192.0</v>
      </c>
      <c r="C24" s="2">
        <v>1428808.0</v>
      </c>
      <c r="D24" s="2">
        <v>279380.0</v>
      </c>
      <c r="F24" s="2">
        <f t="shared" si="1"/>
        <v>2800380</v>
      </c>
      <c r="G24" s="2" t="str">
        <f>IF(INT(F24)=INT('ВВП (расходы)'!J24),"верно","неверно")</f>
        <v>верно</v>
      </c>
    </row>
    <row r="25" ht="15.75" customHeight="1">
      <c r="A25" s="2" t="s">
        <v>49</v>
      </c>
      <c r="B25" s="2">
        <v>1108615.0</v>
      </c>
      <c r="C25" s="2">
        <v>1471443.0</v>
      </c>
      <c r="D25" s="2">
        <v>287222.0</v>
      </c>
      <c r="F25" s="2">
        <f t="shared" si="1"/>
        <v>2867280</v>
      </c>
      <c r="G25" s="2" t="str">
        <f>IF(INT(F25)=INT('ВВП (расходы)'!J25),"верно","неверно")</f>
        <v>верно</v>
      </c>
    </row>
    <row r="26" ht="15.75" customHeight="1">
      <c r="A26" s="2" t="s">
        <v>50</v>
      </c>
      <c r="B26" s="2">
        <v>1156753.0</v>
      </c>
      <c r="C26" s="2">
        <v>1531870.0</v>
      </c>
      <c r="D26" s="2">
        <v>296547.0</v>
      </c>
      <c r="F26" s="2">
        <f t="shared" si="1"/>
        <v>2985170</v>
      </c>
      <c r="G26" s="2" t="str">
        <f>IF(INT(F26)=INT('ВВП (расходы)'!J26),"верно","неверно")</f>
        <v>верно</v>
      </c>
    </row>
    <row r="27" ht="15.75" customHeight="1">
      <c r="A27" s="2" t="s">
        <v>51</v>
      </c>
      <c r="B27" s="2">
        <v>1182903.0</v>
      </c>
      <c r="C27" s="2">
        <v>1594004.0</v>
      </c>
      <c r="D27" s="2">
        <v>308743.0</v>
      </c>
      <c r="F27" s="2">
        <f t="shared" si="1"/>
        <v>3085650</v>
      </c>
      <c r="G27" s="2" t="str">
        <f>IF(INT(F27)=INT('ВВП (расходы)'!J27),"верно","неверно")</f>
        <v>верно</v>
      </c>
    </row>
    <row r="28" ht="15.75" customHeight="1">
      <c r="A28" s="2" t="s">
        <v>52</v>
      </c>
      <c r="B28" s="2">
        <v>1221660.0</v>
      </c>
      <c r="C28" s="2">
        <v>1657401.0</v>
      </c>
      <c r="D28" s="2">
        <v>317049.0</v>
      </c>
      <c r="F28" s="2">
        <f t="shared" si="1"/>
        <v>3196110</v>
      </c>
      <c r="G28" s="2" t="str">
        <f>IF(INT(F28)=INT('ВВП (расходы)'!J28),"верно","неверно")</f>
        <v>верно</v>
      </c>
    </row>
    <row r="29" ht="15.75" customHeight="1">
      <c r="A29" s="2" t="s">
        <v>53</v>
      </c>
      <c r="B29" s="2">
        <v>1269446.0</v>
      </c>
      <c r="C29" s="2">
        <v>1732387.0</v>
      </c>
      <c r="D29" s="2">
        <v>329277.0</v>
      </c>
      <c r="F29" s="2">
        <f t="shared" si="1"/>
        <v>3331110</v>
      </c>
      <c r="G29" s="2" t="str">
        <f>IF(INT(F29)=INT('ВВП (расходы)'!J29),"верно","неверно")</f>
        <v>верно</v>
      </c>
    </row>
    <row r="30" ht="15.75" customHeight="1">
      <c r="A30" s="2" t="s">
        <v>54</v>
      </c>
      <c r="B30" s="2">
        <v>1275767.0</v>
      </c>
      <c r="C30" s="2">
        <v>1816102.0</v>
      </c>
      <c r="D30" s="2">
        <v>339261.0</v>
      </c>
      <c r="F30" s="2">
        <f t="shared" si="1"/>
        <v>3431130</v>
      </c>
      <c r="G30" s="2" t="str">
        <f>IF(INT(F30)=INT('ВВП (расходы)'!J30),"верно","неверно")</f>
        <v>верно</v>
      </c>
    </row>
    <row r="31" ht="15.75" customHeight="1">
      <c r="A31" s="2" t="s">
        <v>55</v>
      </c>
      <c r="B31" s="2">
        <v>1288478.0</v>
      </c>
      <c r="C31" s="2">
        <v>1899063.0</v>
      </c>
      <c r="D31" s="2">
        <v>347339.0</v>
      </c>
      <c r="F31" s="2">
        <f t="shared" si="1"/>
        <v>3534880</v>
      </c>
      <c r="G31" s="2" t="str">
        <f>IF(INT(F31)=INT('ВВП (расходы)'!J31),"верно","неверно")</f>
        <v>верно</v>
      </c>
    </row>
    <row r="32" ht="15.75" customHeight="1">
      <c r="A32" s="2" t="s">
        <v>56</v>
      </c>
      <c r="B32" s="2">
        <v>1276068.0</v>
      </c>
      <c r="C32" s="2">
        <v>1894056.0</v>
      </c>
      <c r="D32" s="2">
        <v>279496.0</v>
      </c>
      <c r="F32" s="2">
        <f t="shared" si="1"/>
        <v>3449620</v>
      </c>
      <c r="G32" s="2" t="str">
        <f>IF(INT(F32)=INT('ВВП (расходы)'!J32),"верно","неверно")</f>
        <v>верно</v>
      </c>
    </row>
    <row r="33" ht="15.75" customHeight="1">
      <c r="A33" s="2" t="s">
        <v>57</v>
      </c>
      <c r="B33" s="2">
        <v>1406786.0</v>
      </c>
      <c r="C33" s="2">
        <v>1963032.0</v>
      </c>
      <c r="D33" s="2">
        <v>306642.0</v>
      </c>
      <c r="F33" s="2">
        <f t="shared" si="1"/>
        <v>3676460</v>
      </c>
      <c r="G33" s="2" t="str">
        <f>IF(INT(F33)=INT('ВВП (расходы)'!J33),"верно","неверно")</f>
        <v>верно</v>
      </c>
    </row>
    <row r="34" ht="15.75" customHeight="1">
      <c r="A34" s="2" t="s">
        <v>58</v>
      </c>
      <c r="B34" s="2">
        <v>1502582.0</v>
      </c>
      <c r="C34" s="2">
        <v>2081653.0</v>
      </c>
      <c r="D34" s="2">
        <v>369615.0</v>
      </c>
      <c r="F34" s="2">
        <f t="shared" si="1"/>
        <v>3953850</v>
      </c>
      <c r="G34" s="2" t="str">
        <f>IF(INT(F34)=INT('ВВП (расходы)'!J34),"верно","неверно")</f>
        <v>верно</v>
      </c>
    </row>
    <row r="35" ht="15.75" customHeight="1">
      <c r="A35" s="2" t="s">
        <v>59</v>
      </c>
      <c r="B35" s="2">
        <v>1614177.0</v>
      </c>
      <c r="C35" s="2">
        <v>2223568.0</v>
      </c>
      <c r="D35" s="2">
        <v>347805.0</v>
      </c>
      <c r="F35" s="2">
        <f t="shared" si="1"/>
        <v>4185550</v>
      </c>
      <c r="G35" s="2" t="str">
        <f>IF(INT(F35)=INT('ВВП (расходы)'!J35),"верно","неверно")</f>
        <v>верно</v>
      </c>
    </row>
    <row r="36" ht="15.75" customHeight="1">
      <c r="A36" s="2" t="s">
        <v>60</v>
      </c>
      <c r="B36" s="2">
        <v>1571962.0</v>
      </c>
      <c r="C36" s="2">
        <v>2350171.0</v>
      </c>
      <c r="D36" s="2">
        <v>383127.0</v>
      </c>
      <c r="F36" s="2">
        <f t="shared" si="1"/>
        <v>4305260</v>
      </c>
      <c r="G36" s="2" t="str">
        <f>IF(INT(F36)=INT('ВВП (расходы)'!J36),"верно","неверно")</f>
        <v>верно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3" width="11.75"/>
    <col customWidth="1" min="4" max="5" width="7.63"/>
    <col customWidth="1" min="6" max="7" width="9.0"/>
    <col customWidth="1" min="8" max="8" width="12.25"/>
    <col customWidth="1" min="9" max="9" width="8.63"/>
    <col customWidth="1" min="10" max="10" width="7.63"/>
    <col customWidth="1" min="11" max="11" width="18.88"/>
    <col customWidth="1" min="12" max="12" width="23.75"/>
    <col customWidth="1" min="13" max="30" width="7.63"/>
  </cols>
  <sheetData>
    <row r="1">
      <c r="A1" s="1" t="s">
        <v>11</v>
      </c>
      <c r="B1" s="4" t="s">
        <v>68</v>
      </c>
      <c r="C1" s="4" t="s">
        <v>69</v>
      </c>
      <c r="K1" s="7" t="s">
        <v>26</v>
      </c>
    </row>
    <row r="2">
      <c r="B2" s="8" t="s">
        <v>70</v>
      </c>
      <c r="C2" s="8" t="s">
        <v>71</v>
      </c>
      <c r="D2" s="8" t="s">
        <v>72</v>
      </c>
      <c r="E2" s="9" t="s">
        <v>73</v>
      </c>
      <c r="F2" s="9" t="s">
        <v>74</v>
      </c>
      <c r="G2" s="9" t="s">
        <v>75</v>
      </c>
      <c r="H2" s="9" t="s">
        <v>76</v>
      </c>
      <c r="I2" s="8" t="s">
        <v>22</v>
      </c>
      <c r="J2" s="8" t="s">
        <v>77</v>
      </c>
      <c r="K2" s="8" t="s">
        <v>78</v>
      </c>
      <c r="L2" s="9" t="s">
        <v>79</v>
      </c>
    </row>
    <row r="3">
      <c r="A3" s="2" t="s">
        <v>31</v>
      </c>
      <c r="B3" s="2">
        <v>460328.0</v>
      </c>
      <c r="C3" s="2">
        <v>10938.0</v>
      </c>
      <c r="D3" s="2">
        <f t="shared" ref="D3:D32" si="1">B3-C3</f>
        <v>449390</v>
      </c>
      <c r="E3" s="2">
        <f>'ВВП (расходы)'!E3+'ВВП (расходы)'!I3</f>
        <v>377047</v>
      </c>
      <c r="F3" s="2">
        <f>'ВВП (расходы)'!G3-'ВВП (расходы)'!H3</f>
        <v>-7641.2</v>
      </c>
      <c r="G3" s="2">
        <f>'ГосБюджет'!S3</f>
        <v>-289814.5</v>
      </c>
      <c r="H3" s="2">
        <f t="shared" ref="H3:H32" si="2">E3-G3+F3</f>
        <v>659220.3</v>
      </c>
      <c r="I3" s="2">
        <f>'ВВП (расходы)'!E3+'ВВП (расходы)'!F3</f>
        <v>398077.2</v>
      </c>
      <c r="J3" s="2">
        <f>'ВВП (расходы)'!H3-'ВВП (расходы)'!G3</f>
        <v>7641.2</v>
      </c>
      <c r="K3" s="2">
        <f>I3-(D3+'ГосБюджет'!S3+J3)</f>
        <v>230860.5</v>
      </c>
      <c r="L3" s="2">
        <f t="shared" ref="L3:L32" si="3">E3-(H3+G3+J3)</f>
        <v>0</v>
      </c>
      <c r="M3" s="7" t="s">
        <v>80</v>
      </c>
    </row>
    <row r="4">
      <c r="A4" s="2" t="s">
        <v>32</v>
      </c>
      <c r="B4" s="2">
        <v>449174.0</v>
      </c>
      <c r="C4" s="2">
        <v>-2623.0</v>
      </c>
      <c r="D4" s="2">
        <f t="shared" si="1"/>
        <v>451797</v>
      </c>
      <c r="E4" s="2">
        <f>'ВВП (расходы)'!E4+'ВВП (расходы)'!I4</f>
        <v>413970.1</v>
      </c>
      <c r="F4" s="2">
        <f>'ВВП (расходы)'!G4-'ВВП (расходы)'!H4</f>
        <v>-8358.4</v>
      </c>
      <c r="G4" s="2">
        <f>'ГосБюджет'!S4</f>
        <v>-342411.7</v>
      </c>
      <c r="H4" s="2">
        <f t="shared" si="2"/>
        <v>748023.4</v>
      </c>
      <c r="I4" s="2">
        <f>'ВВП (расходы)'!E4+'ВВП (расходы)'!F4</f>
        <v>424380.9</v>
      </c>
      <c r="J4" s="2">
        <f>'ВВП (расходы)'!H4-'ВВП (расходы)'!G4</f>
        <v>8358.4</v>
      </c>
      <c r="K4" s="2">
        <f>I4-(D4+'ГосБюджет'!S4+J4)</f>
        <v>306637.2</v>
      </c>
      <c r="L4" s="2">
        <f t="shared" si="3"/>
        <v>0</v>
      </c>
    </row>
    <row r="5">
      <c r="A5" s="2" t="s">
        <v>33</v>
      </c>
      <c r="B5" s="2">
        <v>447250.0</v>
      </c>
      <c r="C5" s="2">
        <v>4314.0</v>
      </c>
      <c r="D5" s="2">
        <f t="shared" si="1"/>
        <v>442936</v>
      </c>
      <c r="E5" s="2">
        <f>'ВВП (расходы)'!E5+'ВВП (расходы)'!I5</f>
        <v>425317.3</v>
      </c>
      <c r="F5" s="2">
        <f>'ВВП (расходы)'!G5-'ВВП (расходы)'!H5</f>
        <v>153.5</v>
      </c>
      <c r="G5" s="2">
        <f>'ГосБюджет'!S5</f>
        <v>-374036.2</v>
      </c>
      <c r="H5" s="2">
        <f t="shared" si="2"/>
        <v>799507</v>
      </c>
      <c r="I5" s="2">
        <f>'ВВП (расходы)'!E5+'ВВП (расходы)'!F5</f>
        <v>428719.1</v>
      </c>
      <c r="J5" s="2">
        <f>'ВВП (расходы)'!H5-'ВВП (расходы)'!G5</f>
        <v>-153.5</v>
      </c>
      <c r="K5" s="2">
        <f>I5-(D5+'ГосБюджет'!S5+J5)</f>
        <v>359972.8</v>
      </c>
      <c r="L5" s="2">
        <f t="shared" si="3"/>
        <v>0</v>
      </c>
    </row>
    <row r="6">
      <c r="A6" s="2" t="s">
        <v>34</v>
      </c>
      <c r="B6" s="2">
        <v>467658.0</v>
      </c>
      <c r="C6" s="2">
        <v>15299.0</v>
      </c>
      <c r="D6" s="2">
        <f t="shared" si="1"/>
        <v>452359</v>
      </c>
      <c r="E6" s="2">
        <f>'ВВП (расходы)'!E6+'ВВП (расходы)'!I6</f>
        <v>448761.9</v>
      </c>
      <c r="F6" s="2">
        <f>'ВВП (расходы)'!G6-'ВВП (расходы)'!H6</f>
        <v>2160.6</v>
      </c>
      <c r="G6" s="2">
        <f>'ГосБюджет'!S6</f>
        <v>-376254.6</v>
      </c>
      <c r="H6" s="2">
        <f t="shared" si="2"/>
        <v>827177.1</v>
      </c>
      <c r="I6" s="2">
        <f>'ВВП (расходы)'!E6+'ВВП (расходы)'!F6</f>
        <v>458598.3</v>
      </c>
      <c r="J6" s="2">
        <f>'ВВП (расходы)'!H6-'ВВП (расходы)'!G6</f>
        <v>-2160.6</v>
      </c>
      <c r="K6" s="2">
        <f>I6-(D6+'ГосБюджет'!S6+J6)</f>
        <v>384654.5</v>
      </c>
      <c r="L6" s="2">
        <f t="shared" si="3"/>
        <v>0</v>
      </c>
    </row>
    <row r="7">
      <c r="A7" s="2" t="s">
        <v>35</v>
      </c>
      <c r="B7" s="2">
        <v>463747.0</v>
      </c>
      <c r="C7" s="2">
        <v>32342.0</v>
      </c>
      <c r="D7" s="2">
        <f t="shared" si="1"/>
        <v>431405</v>
      </c>
      <c r="E7" s="2">
        <f>'ВВП (расходы)'!E7+'ВВП (расходы)'!I7</f>
        <v>465341</v>
      </c>
      <c r="F7" s="2">
        <f>'ВВП (расходы)'!G7-'ВВП (расходы)'!H7</f>
        <v>7078.1</v>
      </c>
      <c r="G7" s="2">
        <f>'ГосБюджет'!S7</f>
        <v>-379384.4</v>
      </c>
      <c r="H7" s="2">
        <f t="shared" si="2"/>
        <v>851803.5</v>
      </c>
      <c r="I7" s="2">
        <f>'ВВП (расходы)'!E7+'ВВП (расходы)'!F7</f>
        <v>485418.6</v>
      </c>
      <c r="J7" s="2">
        <f>'ВВП (расходы)'!H7-'ВВП (расходы)'!G7</f>
        <v>-7078.1</v>
      </c>
      <c r="K7" s="2">
        <f>I7-(D7+'ГосБюджет'!S7+J7)</f>
        <v>440476.1</v>
      </c>
      <c r="L7" s="2">
        <f t="shared" si="3"/>
        <v>0</v>
      </c>
    </row>
    <row r="8">
      <c r="A8" s="2" t="s">
        <v>36</v>
      </c>
      <c r="B8" s="2">
        <v>472328.0</v>
      </c>
      <c r="C8" s="2">
        <v>40845.0</v>
      </c>
      <c r="D8" s="2">
        <f t="shared" si="1"/>
        <v>431483</v>
      </c>
      <c r="E8" s="2">
        <f>'ВВП (расходы)'!E8+'ВВП (расходы)'!I8</f>
        <v>452996.2</v>
      </c>
      <c r="F8" s="2">
        <f>'ВВП (расходы)'!G8-'ВВП (расходы)'!H8</f>
        <v>13051.9</v>
      </c>
      <c r="G8" s="2">
        <f>'ГосБюджет'!S8</f>
        <v>-370780.5</v>
      </c>
      <c r="H8" s="2">
        <f t="shared" si="2"/>
        <v>836828.6</v>
      </c>
      <c r="I8" s="2">
        <f>'ВВП (расходы)'!E8+'ВВП (расходы)'!F8</f>
        <v>463415.8</v>
      </c>
      <c r="J8" s="2">
        <f>'ВВП (расходы)'!H8-'ВВП (расходы)'!G8</f>
        <v>-13051.9</v>
      </c>
      <c r="K8" s="2">
        <f>I8-(D8+'ГосБюджет'!S8+J8)</f>
        <v>415765.2</v>
      </c>
      <c r="L8" s="2">
        <f t="shared" si="3"/>
        <v>0</v>
      </c>
    </row>
    <row r="9">
      <c r="A9" s="2" t="s">
        <v>37</v>
      </c>
      <c r="B9" s="2">
        <v>490656.0</v>
      </c>
      <c r="C9" s="2">
        <v>11149.0</v>
      </c>
      <c r="D9" s="2">
        <f t="shared" si="1"/>
        <v>479507</v>
      </c>
      <c r="E9" s="2">
        <f>'ВВП (расходы)'!E9+'ВВП (расходы)'!I9</f>
        <v>442112.1</v>
      </c>
      <c r="F9" s="2">
        <f>'ВВП (расходы)'!G9-'ВВП (расходы)'!H9</f>
        <v>20026.5</v>
      </c>
      <c r="G9" s="2">
        <f>'ГосБюджет'!S9</f>
        <v>-392420.8</v>
      </c>
      <c r="H9" s="2">
        <f t="shared" si="2"/>
        <v>854559.4</v>
      </c>
      <c r="I9" s="2">
        <f>'ВВП (расходы)'!E9+'ВВП (расходы)'!F9</f>
        <v>458415.9</v>
      </c>
      <c r="J9" s="2">
        <f>'ВВП (расходы)'!H9-'ВВП (расходы)'!G9</f>
        <v>-20026.5</v>
      </c>
      <c r="K9" s="2">
        <f>I9-(D9+'ГосБюджет'!S9+J9)</f>
        <v>391356.2</v>
      </c>
      <c r="L9" s="2">
        <f t="shared" si="3"/>
        <v>0</v>
      </c>
    </row>
    <row r="10">
      <c r="A10" s="2" t="s">
        <v>38</v>
      </c>
      <c r="B10" s="2">
        <v>486509.0</v>
      </c>
      <c r="C10" s="2">
        <v>-9569.0</v>
      </c>
      <c r="D10" s="2">
        <f t="shared" si="1"/>
        <v>496078</v>
      </c>
      <c r="E10" s="2">
        <f>'ВВП (расходы)'!E10+'ВВП (расходы)'!I10</f>
        <v>455981.6</v>
      </c>
      <c r="F10" s="2">
        <f>'ВВП (расходы)'!G10-'ВВП (расходы)'!H10</f>
        <v>23397.9</v>
      </c>
      <c r="G10" s="2">
        <f>'ГосБюджет'!S10</f>
        <v>-413766.2</v>
      </c>
      <c r="H10" s="2">
        <f t="shared" si="2"/>
        <v>893145.7</v>
      </c>
      <c r="I10" s="2">
        <f>'ВВП (расходы)'!E10+'ВВП (расходы)'!F10</f>
        <v>483297.9</v>
      </c>
      <c r="J10" s="2">
        <f>'ВВП (расходы)'!H10-'ВВП (расходы)'!G10</f>
        <v>-23397.9</v>
      </c>
      <c r="K10" s="2">
        <f>I10-(D10+'ГосБюджет'!S10+J10)</f>
        <v>424384</v>
      </c>
      <c r="L10" s="2">
        <f t="shared" si="3"/>
        <v>0</v>
      </c>
    </row>
    <row r="11">
      <c r="A11" s="2" t="s">
        <v>39</v>
      </c>
      <c r="B11" s="2">
        <v>466923.0</v>
      </c>
      <c r="C11" s="2">
        <v>-12988.0</v>
      </c>
      <c r="D11" s="2">
        <f t="shared" si="1"/>
        <v>479911</v>
      </c>
      <c r="E11" s="2">
        <f>'ВВП (расходы)'!E11+'ВВП (расходы)'!I11</f>
        <v>474306</v>
      </c>
      <c r="F11" s="2">
        <f>'ВВП (расходы)'!G11-'ВВП (расходы)'!H11</f>
        <v>11228</v>
      </c>
      <c r="G11" s="2">
        <f>'ГосБюджет'!S11</f>
        <v>-440438</v>
      </c>
      <c r="H11" s="2">
        <f t="shared" si="2"/>
        <v>925972</v>
      </c>
      <c r="I11" s="2">
        <f>'ВВП (расходы)'!E11+'ВВП (расходы)'!F11</f>
        <v>493518</v>
      </c>
      <c r="J11" s="2">
        <f>'ВВП (расходы)'!H11-'ВВП (расходы)'!G11</f>
        <v>-11228</v>
      </c>
      <c r="K11" s="2">
        <f>I11-(D11+'ГосБюджет'!S11+J11)</f>
        <v>465273</v>
      </c>
      <c r="L11" s="2">
        <f t="shared" si="3"/>
        <v>0</v>
      </c>
    </row>
    <row r="12">
      <c r="A12" s="2" t="s">
        <v>40</v>
      </c>
      <c r="B12" s="2">
        <v>534870.0</v>
      </c>
      <c r="C12" s="2">
        <v>-12977.0</v>
      </c>
      <c r="D12" s="2">
        <f t="shared" si="1"/>
        <v>547847</v>
      </c>
      <c r="E12" s="2">
        <f>'ВВП (расходы)'!E12+'ВВП (расходы)'!I12</f>
        <v>487329</v>
      </c>
      <c r="F12" s="2">
        <f>'ВВП (расходы)'!G12-'ВВП (расходы)'!H12</f>
        <v>3529</v>
      </c>
      <c r="G12" s="2">
        <f>'ГосБюджет'!S12</f>
        <v>-446132</v>
      </c>
      <c r="H12" s="2">
        <f t="shared" si="2"/>
        <v>936990</v>
      </c>
      <c r="I12" s="2">
        <f>'ВВП (расходы)'!E12+'ВВП (расходы)'!F12</f>
        <v>510351</v>
      </c>
      <c r="J12" s="2">
        <f>'ВВП (расходы)'!H12-'ВВП (расходы)'!G12</f>
        <v>-3529</v>
      </c>
      <c r="K12" s="2">
        <f>I12-(D12+'ГосБюджет'!S12+J12)</f>
        <v>412165</v>
      </c>
      <c r="L12" s="2">
        <f t="shared" si="3"/>
        <v>0</v>
      </c>
    </row>
    <row r="13">
      <c r="A13" s="2" t="s">
        <v>41</v>
      </c>
      <c r="B13" s="2">
        <v>539084.0</v>
      </c>
      <c r="C13" s="2">
        <v>-3579.0</v>
      </c>
      <c r="D13" s="2">
        <f t="shared" si="1"/>
        <v>542663</v>
      </c>
      <c r="E13" s="2">
        <f>'ВВП (расходы)'!E13+'ВВП (расходы)'!I13</f>
        <v>472991</v>
      </c>
      <c r="F13" s="2">
        <f>'ВВП (расходы)'!G13-'ВВП (расходы)'!H13</f>
        <v>34284</v>
      </c>
      <c r="G13" s="2">
        <f>'ГосБюджет'!S13</f>
        <v>-445532</v>
      </c>
      <c r="H13" s="2">
        <f t="shared" si="2"/>
        <v>952807</v>
      </c>
      <c r="I13" s="2">
        <f>'ВВП (расходы)'!E13+'ВВП (расходы)'!F13</f>
        <v>499803</v>
      </c>
      <c r="J13" s="2">
        <f>'ВВП (расходы)'!H13-'ВВП (расходы)'!G13</f>
        <v>-34284</v>
      </c>
      <c r="K13" s="2">
        <f>I13-(D13+'ГосБюджет'!S13+J13)</f>
        <v>436956</v>
      </c>
      <c r="L13" s="2">
        <f t="shared" si="3"/>
        <v>0</v>
      </c>
    </row>
    <row r="14">
      <c r="A14" s="2" t="s">
        <v>42</v>
      </c>
      <c r="B14" s="2">
        <v>618748.0</v>
      </c>
      <c r="C14" s="2">
        <v>32328.0</v>
      </c>
      <c r="D14" s="2">
        <f t="shared" si="1"/>
        <v>586420</v>
      </c>
      <c r="E14" s="2">
        <f>'ВВП (расходы)'!E14+'ВВП (расходы)'!I14</f>
        <v>442153</v>
      </c>
      <c r="F14" s="2">
        <f>'ВВП (расходы)'!G14-'ВВП (расходы)'!H14</f>
        <v>90009</v>
      </c>
      <c r="G14" s="2">
        <f>'ГосБюджет'!S14</f>
        <v>-417720</v>
      </c>
      <c r="H14" s="2">
        <f t="shared" si="2"/>
        <v>949882</v>
      </c>
      <c r="I14" s="2">
        <f>'ВВП (расходы)'!E14+'ВВП (расходы)'!F14</f>
        <v>448046</v>
      </c>
      <c r="J14" s="2">
        <f>'ВВП (расходы)'!H14-'ВВП (расходы)'!G14</f>
        <v>-90009</v>
      </c>
      <c r="K14" s="2">
        <f>I14-(D14+'ГосБюджет'!S14+J14)</f>
        <v>369355</v>
      </c>
      <c r="L14" s="2">
        <f t="shared" si="3"/>
        <v>0</v>
      </c>
    </row>
    <row r="15">
      <c r="A15" s="2" t="s">
        <v>43</v>
      </c>
      <c r="B15" s="2">
        <v>696540.0</v>
      </c>
      <c r="C15" s="2">
        <v>76317.0</v>
      </c>
      <c r="D15" s="2">
        <f t="shared" si="1"/>
        <v>620223</v>
      </c>
      <c r="E15" s="2">
        <f>'ВВП (расходы)'!E15+'ВВП (расходы)'!I15</f>
        <v>431667</v>
      </c>
      <c r="F15" s="2">
        <f>'ВВП (расходы)'!G15-'ВВП (расходы)'!H15</f>
        <v>81143</v>
      </c>
      <c r="G15" s="2">
        <f>'ГосБюджет'!S15</f>
        <v>-369263</v>
      </c>
      <c r="H15" s="2">
        <f t="shared" si="2"/>
        <v>882073</v>
      </c>
      <c r="I15" s="2">
        <f>'ВВП (расходы)'!E15+'ВВП (расходы)'!F15</f>
        <v>438675</v>
      </c>
      <c r="J15" s="2">
        <f>'ВВП (расходы)'!H15-'ВВП (расходы)'!G15</f>
        <v>-81143</v>
      </c>
      <c r="K15" s="2">
        <f>I15-(D15+'ГосБюджет'!S15+J15)</f>
        <v>268858</v>
      </c>
      <c r="L15" s="2">
        <f t="shared" si="3"/>
        <v>0</v>
      </c>
    </row>
    <row r="16">
      <c r="A16" s="2" t="s">
        <v>44</v>
      </c>
      <c r="B16" s="2">
        <v>680534.0</v>
      </c>
      <c r="C16" s="2">
        <v>79868.0</v>
      </c>
      <c r="D16" s="2">
        <f t="shared" si="1"/>
        <v>600666</v>
      </c>
      <c r="E16" s="2">
        <f>'ВВП (расходы)'!E16+'ВВП (расходы)'!I16</f>
        <v>431813</v>
      </c>
      <c r="F16" s="2">
        <f>'ВВП (расходы)'!G16-'ВВП (расходы)'!H16</f>
        <v>113825</v>
      </c>
      <c r="G16" s="2">
        <f>'ГосБюджет'!S16</f>
        <v>-356943</v>
      </c>
      <c r="H16" s="2">
        <f t="shared" si="2"/>
        <v>902581</v>
      </c>
      <c r="I16" s="2">
        <f>'ВВП (расходы)'!E16+'ВВП (расходы)'!F16</f>
        <v>436168</v>
      </c>
      <c r="J16" s="2">
        <f>'ВВП (расходы)'!H16-'ВВП (расходы)'!G16</f>
        <v>-113825</v>
      </c>
      <c r="K16" s="2">
        <f>I16-(D16+'ГосБюджет'!S16+J16)</f>
        <v>306270</v>
      </c>
      <c r="L16" s="2">
        <f t="shared" si="3"/>
        <v>0</v>
      </c>
    </row>
    <row r="17">
      <c r="A17" s="2" t="s">
        <v>45</v>
      </c>
      <c r="B17" s="2">
        <v>592383.0</v>
      </c>
      <c r="C17" s="2">
        <v>7310.0</v>
      </c>
      <c r="D17" s="2">
        <f t="shared" si="1"/>
        <v>585073</v>
      </c>
      <c r="E17" s="2">
        <f>'ВВП (расходы)'!E17+'ВВП (расходы)'!I17</f>
        <v>436406</v>
      </c>
      <c r="F17" s="2">
        <f>'ВВП (расходы)'!G17-'ВВП (расходы)'!H17</f>
        <v>115197</v>
      </c>
      <c r="G17" s="2">
        <f>'ГосБюджет'!S17</f>
        <v>-407378</v>
      </c>
      <c r="H17" s="2">
        <f t="shared" si="2"/>
        <v>958981</v>
      </c>
      <c r="I17" s="2">
        <f>'ВВП (расходы)'!E17+'ВВП (расходы)'!F17</f>
        <v>435734</v>
      </c>
      <c r="J17" s="2">
        <f>'ВВП (расходы)'!H17-'ВВП (расходы)'!G17</f>
        <v>-115197</v>
      </c>
      <c r="K17" s="2">
        <f>I17-(D17+'ГосБюджет'!S17+J17)</f>
        <v>373236</v>
      </c>
      <c r="L17" s="2">
        <f t="shared" si="3"/>
        <v>0</v>
      </c>
    </row>
    <row r="18">
      <c r="A18" s="2" t="s">
        <v>46</v>
      </c>
      <c r="B18" s="2">
        <v>661144.0</v>
      </c>
      <c r="C18" s="2">
        <v>2778.0</v>
      </c>
      <c r="D18" s="2">
        <f t="shared" si="1"/>
        <v>658366</v>
      </c>
      <c r="E18" s="2">
        <f>'ВВП (расходы)'!E18+'ВВП (расходы)'!I18</f>
        <v>472193</v>
      </c>
      <c r="F18" s="2">
        <f>'ВВП (расходы)'!G18-'ВВП (расходы)'!H18</f>
        <v>125669</v>
      </c>
      <c r="G18" s="2">
        <f>'ГосБюджет'!S18</f>
        <v>-422334</v>
      </c>
      <c r="H18" s="2">
        <f t="shared" si="2"/>
        <v>1020196</v>
      </c>
      <c r="I18" s="2">
        <f>'ВВП (расходы)'!E18+'ВВП (расходы)'!F18</f>
        <v>482760</v>
      </c>
      <c r="J18" s="2">
        <f>'ВВП (расходы)'!H18-'ВВП (расходы)'!G18</f>
        <v>-125669</v>
      </c>
      <c r="K18" s="2">
        <f>I18-(D18+'ГосБюджет'!S18+J18)</f>
        <v>372397</v>
      </c>
      <c r="L18" s="2">
        <f t="shared" si="3"/>
        <v>0</v>
      </c>
    </row>
    <row r="19">
      <c r="A19" s="2" t="s">
        <v>47</v>
      </c>
      <c r="B19" s="2">
        <v>755654.0</v>
      </c>
      <c r="C19" s="2">
        <v>63064.0</v>
      </c>
      <c r="D19" s="2">
        <f t="shared" si="1"/>
        <v>692590</v>
      </c>
      <c r="E19" s="2">
        <f>'ВВП (расходы)'!E19+'ВВП (расходы)'!I19</f>
        <v>501203</v>
      </c>
      <c r="F19" s="2">
        <f>'ВВП (расходы)'!G19-'ВВП (расходы)'!H19</f>
        <v>162442</v>
      </c>
      <c r="G19" s="2">
        <f>'ГосБюджет'!S19</f>
        <v>-383289</v>
      </c>
      <c r="H19" s="2">
        <f t="shared" si="2"/>
        <v>1046934</v>
      </c>
      <c r="I19" s="2">
        <f>'ВВП (расходы)'!E19+'ВВП (расходы)'!F19</f>
        <v>528460</v>
      </c>
      <c r="J19" s="2">
        <f>'ВВП (расходы)'!H19-'ВВП (расходы)'!G19</f>
        <v>-162442</v>
      </c>
      <c r="K19" s="2">
        <f>I19-(D19+'ГосБюджет'!S19+J19)</f>
        <v>381601</v>
      </c>
      <c r="L19" s="2">
        <f t="shared" si="3"/>
        <v>0</v>
      </c>
    </row>
    <row r="20">
      <c r="A20" s="2" t="s">
        <v>48</v>
      </c>
      <c r="B20" s="2">
        <v>746741.0</v>
      </c>
      <c r="C20" s="2">
        <v>82622.0</v>
      </c>
      <c r="D20" s="2">
        <f t="shared" si="1"/>
        <v>664119</v>
      </c>
      <c r="E20" s="2">
        <f>'ВВП (расходы)'!E20+'ВВП (расходы)'!I20</f>
        <v>516899</v>
      </c>
      <c r="F20" s="2">
        <f>'ВВП (расходы)'!G20-'ВВП (расходы)'!H20</f>
        <v>149779</v>
      </c>
      <c r="G20" s="2">
        <f>'ГосБюджет'!S20</f>
        <v>-380035</v>
      </c>
      <c r="H20" s="2">
        <f t="shared" si="2"/>
        <v>1046713</v>
      </c>
      <c r="I20" s="2">
        <f>'ВВП (расходы)'!E20+'ВВП (расходы)'!F20</f>
        <v>541216</v>
      </c>
      <c r="J20" s="2">
        <f>'ВВП (расходы)'!H20-'ВВП (расходы)'!G20</f>
        <v>-149779</v>
      </c>
      <c r="K20" s="2">
        <f>I20-(D20+'ГосБюджет'!S20+J20)</f>
        <v>406911</v>
      </c>
      <c r="L20" s="2">
        <f t="shared" si="3"/>
        <v>0</v>
      </c>
    </row>
    <row r="21">
      <c r="A21" s="2" t="s">
        <v>49</v>
      </c>
      <c r="B21" s="2">
        <v>756503.0</v>
      </c>
      <c r="C21" s="2">
        <v>88471.0</v>
      </c>
      <c r="D21" s="2">
        <f t="shared" si="1"/>
        <v>668032</v>
      </c>
      <c r="E21" s="2">
        <f>'ВВП (расходы)'!E21+'ВВП (расходы)'!I21</f>
        <v>469819</v>
      </c>
      <c r="F21" s="2">
        <f>'ВВП (расходы)'!G21-'ВВП (расходы)'!H21</f>
        <v>118960</v>
      </c>
      <c r="G21" s="2">
        <f>'ГосБюджет'!S21</f>
        <v>-383539</v>
      </c>
      <c r="H21" s="2">
        <f t="shared" si="2"/>
        <v>972318</v>
      </c>
      <c r="I21" s="2">
        <f>'ВВП (расходы)'!E21+'ВВП (расходы)'!F21</f>
        <v>449975</v>
      </c>
      <c r="J21" s="2">
        <f>'ВВП (расходы)'!H21-'ВВП (расходы)'!G21</f>
        <v>-118960</v>
      </c>
      <c r="K21" s="2">
        <f>I21-(D21+'ГосБюджет'!S21+J21)</f>
        <v>284442</v>
      </c>
      <c r="L21" s="2">
        <f t="shared" si="3"/>
        <v>0</v>
      </c>
    </row>
    <row r="22" ht="15.75" customHeight="1">
      <c r="A22" s="2" t="s">
        <v>50</v>
      </c>
      <c r="B22" s="2">
        <v>823265.0</v>
      </c>
      <c r="C22" s="2">
        <v>105066.0</v>
      </c>
      <c r="D22" s="2">
        <f t="shared" si="1"/>
        <v>718199</v>
      </c>
      <c r="E22" s="2">
        <f>'ВВП (расходы)'!E22+'ВВП (расходы)'!I22</f>
        <v>501768</v>
      </c>
      <c r="F22" s="2">
        <f>'ВВП (расходы)'!G22-'ВВП (расходы)'!H22</f>
        <v>133521</v>
      </c>
      <c r="G22" s="2">
        <f>'ГосБюджет'!S22</f>
        <v>-377016</v>
      </c>
      <c r="H22" s="2">
        <f t="shared" si="2"/>
        <v>1012305</v>
      </c>
      <c r="I22" s="2">
        <f>'ВВП (расходы)'!E22+'ВВП (расходы)'!F22</f>
        <v>511588</v>
      </c>
      <c r="J22" s="2">
        <f>'ВВП (расходы)'!H22-'ВВП (расходы)'!G22</f>
        <v>-133521</v>
      </c>
      <c r="K22" s="2">
        <f>I22-(D22+'ГосБюджет'!S22+J22)</f>
        <v>303926</v>
      </c>
      <c r="L22" s="2">
        <f t="shared" si="3"/>
        <v>0</v>
      </c>
    </row>
    <row r="23" ht="15.75" customHeight="1">
      <c r="A23" s="2" t="s">
        <v>51</v>
      </c>
      <c r="B23" s="2">
        <v>853417.0</v>
      </c>
      <c r="C23" s="2">
        <v>111808.0</v>
      </c>
      <c r="D23" s="2">
        <f t="shared" si="1"/>
        <v>741609</v>
      </c>
      <c r="E23" s="2">
        <f>'ВВП (расходы)'!E23+'ВВП (расходы)'!I23</f>
        <v>549605</v>
      </c>
      <c r="F23" s="2">
        <f>'ВВП (расходы)'!G23-'ВВП (расходы)'!H23</f>
        <v>133342</v>
      </c>
      <c r="G23" s="2">
        <f>'ГосБюджет'!S23</f>
        <v>-373841</v>
      </c>
      <c r="H23" s="2">
        <f t="shared" si="2"/>
        <v>1056788</v>
      </c>
      <c r="I23" s="2">
        <f>'ВВП (расходы)'!E23+'ВВП (расходы)'!F23</f>
        <v>585085</v>
      </c>
      <c r="J23" s="2">
        <f>'ВВП (расходы)'!H23-'ВВП (расходы)'!G23</f>
        <v>-133342</v>
      </c>
      <c r="K23" s="2">
        <f>I23-(D23+'ГосБюджет'!S23+J23)</f>
        <v>350659</v>
      </c>
      <c r="L23" s="2">
        <f t="shared" si="3"/>
        <v>0</v>
      </c>
    </row>
    <row r="24" ht="15.75" customHeight="1">
      <c r="A24" s="2" t="s">
        <v>52</v>
      </c>
      <c r="B24" s="2">
        <v>917124.0</v>
      </c>
      <c r="C24" s="2">
        <v>125581.0</v>
      </c>
      <c r="D24" s="2">
        <f t="shared" si="1"/>
        <v>791543</v>
      </c>
      <c r="E24" s="2">
        <f>'ВВП (расходы)'!E24+'ВВП (расходы)'!I24</f>
        <v>558913</v>
      </c>
      <c r="F24" s="2">
        <f>'ВВП (расходы)'!G24-'ВВП (расходы)'!H24</f>
        <v>169063</v>
      </c>
      <c r="G24" s="2">
        <f>'ГосБюджет'!S24</f>
        <v>-368102</v>
      </c>
      <c r="H24" s="2">
        <f t="shared" si="2"/>
        <v>1096078</v>
      </c>
      <c r="I24" s="2">
        <f>'ВВП (расходы)'!E24+'ВВП (расходы)'!F24</f>
        <v>546189</v>
      </c>
      <c r="J24" s="2">
        <f>'ВВП (расходы)'!H24-'ВВП (расходы)'!G24</f>
        <v>-169063</v>
      </c>
      <c r="K24" s="2">
        <f>I24-(D24+'ГосБюджет'!S24+J24)</f>
        <v>291811</v>
      </c>
      <c r="L24" s="2">
        <f t="shared" si="3"/>
        <v>0</v>
      </c>
    </row>
    <row r="25" ht="15.75" customHeight="1">
      <c r="A25" s="2" t="s">
        <v>53</v>
      </c>
      <c r="B25" s="2">
        <v>956826.0</v>
      </c>
      <c r="C25" s="2">
        <v>149611.0</v>
      </c>
      <c r="D25" s="2">
        <f t="shared" si="1"/>
        <v>807215</v>
      </c>
      <c r="E25" s="2">
        <f>'ВВП (расходы)'!E25+'ВВП (расходы)'!I25</f>
        <v>561175</v>
      </c>
      <c r="F25" s="2">
        <f>'ВВП (расходы)'!G25-'ВВП (расходы)'!H25</f>
        <v>165526</v>
      </c>
      <c r="G25" s="2">
        <f>'ГосБюджет'!S25</f>
        <v>-371259</v>
      </c>
      <c r="H25" s="2">
        <f t="shared" si="2"/>
        <v>1097960</v>
      </c>
      <c r="I25" s="2">
        <f>'ВВП (расходы)'!E25+'ВВП (расходы)'!F25</f>
        <v>568030</v>
      </c>
      <c r="J25" s="2">
        <f>'ВВП (расходы)'!H25-'ВВП (расходы)'!G25</f>
        <v>-165526</v>
      </c>
      <c r="K25" s="2">
        <f>I25-(D25+'ГосБюджет'!S25+J25)</f>
        <v>297600</v>
      </c>
      <c r="L25" s="2">
        <f t="shared" si="3"/>
        <v>0</v>
      </c>
    </row>
    <row r="26" ht="15.75" customHeight="1">
      <c r="A26" s="2" t="s">
        <v>54</v>
      </c>
      <c r="B26" s="2">
        <v>1031165.0</v>
      </c>
      <c r="C26" s="2">
        <v>173123.0</v>
      </c>
      <c r="D26" s="2">
        <f t="shared" si="1"/>
        <v>858042</v>
      </c>
      <c r="E26" s="2">
        <f>'ВВП (расходы)'!E26+'ВВП (расходы)'!I26</f>
        <v>590405</v>
      </c>
      <c r="F26" s="2">
        <f>'ВВП (расходы)'!G26-'ВВП (расходы)'!H26</f>
        <v>195154</v>
      </c>
      <c r="G26" s="2">
        <f>'ГосБюджет'!S26</f>
        <v>-377916</v>
      </c>
      <c r="H26" s="2">
        <f t="shared" si="2"/>
        <v>1163475</v>
      </c>
      <c r="I26" s="2">
        <f>'ВВП (расходы)'!E26+'ВВП (расходы)'!F26</f>
        <v>601757</v>
      </c>
      <c r="J26" s="2">
        <f>'ВВП (расходы)'!H26-'ВВП (расходы)'!G26</f>
        <v>-195154</v>
      </c>
      <c r="K26" s="2">
        <f>I26-(D26+'ГосБюджет'!S26+J26)</f>
        <v>316785</v>
      </c>
      <c r="L26" s="2">
        <f t="shared" si="3"/>
        <v>0</v>
      </c>
    </row>
    <row r="27" ht="15.75" customHeight="1">
      <c r="A27" s="2" t="s">
        <v>55</v>
      </c>
      <c r="B27" s="2">
        <v>1034898.0</v>
      </c>
      <c r="C27" s="2">
        <v>162636.0</v>
      </c>
      <c r="D27" s="2">
        <f t="shared" si="1"/>
        <v>872262</v>
      </c>
      <c r="E27" s="2">
        <f>'ВВП (расходы)'!E27+'ВВП (расходы)'!I27</f>
        <v>609619</v>
      </c>
      <c r="F27" s="2">
        <f>'ВВП (расходы)'!G27-'ВВП (расходы)'!H27</f>
        <v>228879</v>
      </c>
      <c r="G27" s="2">
        <f>'ГосБюджет'!S27</f>
        <v>-400098</v>
      </c>
      <c r="H27" s="2">
        <f t="shared" si="2"/>
        <v>1238596</v>
      </c>
      <c r="I27" s="2">
        <f>'ВВП (расходы)'!E27+'ВВП (расходы)'!F27</f>
        <v>600523</v>
      </c>
      <c r="J27" s="2">
        <f>'ВВП (расходы)'!H27-'ВВП (расходы)'!G27</f>
        <v>-228879</v>
      </c>
      <c r="K27" s="2">
        <f>I27-(D27+'ГосБюджет'!S27+J27)</f>
        <v>357238</v>
      </c>
      <c r="L27" s="2">
        <f t="shared" si="3"/>
        <v>0</v>
      </c>
    </row>
    <row r="28" ht="15.75" customHeight="1">
      <c r="A28" s="2" t="s">
        <v>56</v>
      </c>
      <c r="B28" s="2">
        <v>967389.0</v>
      </c>
      <c r="C28" s="2">
        <v>-25623.0</v>
      </c>
      <c r="D28" s="2">
        <f t="shared" si="1"/>
        <v>993012</v>
      </c>
      <c r="E28" s="2">
        <f>'ВВП (расходы)'!E28+'ВВП (расходы)'!I28</f>
        <v>640443</v>
      </c>
      <c r="F28" s="2">
        <f>'ВВП (расходы)'!G28-'ВВП (расходы)'!H28</f>
        <v>232135</v>
      </c>
      <c r="G28" s="2">
        <f>'ГосБюджет'!S28</f>
        <v>-525400</v>
      </c>
      <c r="H28" s="2">
        <f t="shared" si="2"/>
        <v>1397978</v>
      </c>
      <c r="I28" s="2">
        <f>'ВВП (расходы)'!E28+'ВВП (расходы)'!F28</f>
        <v>630748</v>
      </c>
      <c r="J28" s="2">
        <f>'ВВП (расходы)'!H28-'ВВП (расходы)'!G28</f>
        <v>-232135</v>
      </c>
      <c r="K28" s="2">
        <f>I28-(D28+'ГосБюджет'!S28+J28)</f>
        <v>395271</v>
      </c>
      <c r="L28" s="2">
        <f t="shared" si="3"/>
        <v>0</v>
      </c>
    </row>
    <row r="29" ht="15.75" customHeight="1">
      <c r="A29" s="2" t="s">
        <v>57</v>
      </c>
      <c r="B29" s="2">
        <v>1084028.0</v>
      </c>
      <c r="C29" s="2">
        <v>20248.0</v>
      </c>
      <c r="D29" s="2">
        <f t="shared" si="1"/>
        <v>1063780</v>
      </c>
      <c r="E29" s="2">
        <f>'ВВП (расходы)'!E29+'ВВП (расходы)'!I29</f>
        <v>671086</v>
      </c>
      <c r="F29" s="2">
        <f>'ВВП (расходы)'!G29-'ВВП (расходы)'!H29</f>
        <v>236020</v>
      </c>
      <c r="G29" s="2">
        <f>'ГосБюджет'!S29</f>
        <v>-469121</v>
      </c>
      <c r="H29" s="2">
        <f t="shared" si="2"/>
        <v>1376227</v>
      </c>
      <c r="I29" s="2">
        <f>'ВВП (расходы)'!E29+'ВВП (расходы)'!F29</f>
        <v>683320</v>
      </c>
      <c r="J29" s="2">
        <f>'ВВП (расходы)'!H29-'ВВП (расходы)'!G29</f>
        <v>-236020</v>
      </c>
      <c r="K29" s="2">
        <f>I29-(D29+'ГосБюджет'!S29+J29)</f>
        <v>324681</v>
      </c>
      <c r="L29" s="2">
        <f t="shared" si="3"/>
        <v>0</v>
      </c>
    </row>
    <row r="30" ht="15.75" customHeight="1">
      <c r="A30" s="2" t="s">
        <v>58</v>
      </c>
      <c r="B30" s="2">
        <v>1093381.0</v>
      </c>
      <c r="C30" s="2">
        <v>85810.0</v>
      </c>
      <c r="D30" s="2">
        <f t="shared" si="1"/>
        <v>1007571</v>
      </c>
      <c r="E30" s="2">
        <f>'ВВП (расходы)'!E30+'ВВП (расходы)'!I30</f>
        <v>714880</v>
      </c>
      <c r="F30" s="2">
        <f>'ВВП (расходы)'!G30-'ВВП (расходы)'!H30</f>
        <v>205426</v>
      </c>
      <c r="G30" s="2">
        <f>'ГосБюджет'!S30</f>
        <v>-463650</v>
      </c>
      <c r="H30" s="2">
        <f t="shared" si="2"/>
        <v>1383956</v>
      </c>
      <c r="I30" s="2">
        <f>'ВВП (расходы)'!E30+'ВВП (расходы)'!F30</f>
        <v>736682</v>
      </c>
      <c r="J30" s="2">
        <f>'ВВП (расходы)'!H30-'ВВП (расходы)'!G30</f>
        <v>-205426</v>
      </c>
      <c r="K30" s="2">
        <f>I30-(D30+'ГосБюджет'!S30+J30)</f>
        <v>398187</v>
      </c>
      <c r="L30" s="2">
        <f t="shared" si="3"/>
        <v>0</v>
      </c>
    </row>
    <row r="31" ht="15.75" customHeight="1">
      <c r="A31" s="2" t="s">
        <v>59</v>
      </c>
      <c r="B31" s="2">
        <v>1166275.0</v>
      </c>
      <c r="C31" s="2">
        <v>67818.0</v>
      </c>
      <c r="D31" s="2">
        <f t="shared" si="1"/>
        <v>1098457</v>
      </c>
      <c r="E31" s="2">
        <f>'ВВП (расходы)'!E31+'ВВП (расходы)'!I31</f>
        <v>748216</v>
      </c>
      <c r="F31" s="2">
        <f>'ВВП (расходы)'!G31-'ВВП (расходы)'!H31</f>
        <v>199327</v>
      </c>
      <c r="G31" s="2">
        <f>'ГосБюджет'!S31</f>
        <v>-536039</v>
      </c>
      <c r="H31" s="2">
        <f t="shared" si="2"/>
        <v>1483582</v>
      </c>
      <c r="I31" s="2">
        <f>'ВВП (расходы)'!E31+'ВВП (расходы)'!F31</f>
        <v>752932</v>
      </c>
      <c r="J31" s="2">
        <f>'ВВП (расходы)'!H31-'ВВП (расходы)'!G31</f>
        <v>-199327</v>
      </c>
      <c r="K31" s="2">
        <f>I31-(D31+'ГосБюджет'!S31+J31)</f>
        <v>389841</v>
      </c>
      <c r="L31" s="2">
        <f t="shared" si="3"/>
        <v>0</v>
      </c>
    </row>
    <row r="32" ht="15.75" customHeight="1">
      <c r="A32" s="2" t="s">
        <v>60</v>
      </c>
      <c r="B32" s="2">
        <v>1173201.0</v>
      </c>
      <c r="C32" s="2">
        <v>73571.0</v>
      </c>
      <c r="D32" s="2">
        <f t="shared" si="1"/>
        <v>1099630</v>
      </c>
      <c r="E32" s="2">
        <f>'ВВП (расходы)'!E32+'ВВП (расходы)'!I32</f>
        <v>736476</v>
      </c>
      <c r="F32" s="2">
        <f>'ВВП (расходы)'!G32-'ВВП (расходы)'!H32</f>
        <v>184386</v>
      </c>
      <c r="G32" s="2">
        <f>'ГосБюджет'!S32</f>
        <v>-644122</v>
      </c>
      <c r="H32" s="2">
        <f t="shared" si="2"/>
        <v>1564984</v>
      </c>
      <c r="I32" s="2">
        <f>'ВВП (расходы)'!E32+'ВВП (расходы)'!F32</f>
        <v>747420</v>
      </c>
      <c r="J32" s="2">
        <f>'ВВП (расходы)'!H32-'ВВП (расходы)'!G32</f>
        <v>-184386</v>
      </c>
      <c r="K32" s="2">
        <f>I32-(D32+'ГосБюджет'!S32+J32)</f>
        <v>476298</v>
      </c>
      <c r="L32" s="2">
        <f t="shared" si="3"/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3.0"/>
    <col customWidth="1" min="3" max="3" width="7.63"/>
    <col customWidth="1" min="4" max="4" width="7.38"/>
    <col customWidth="1" min="5" max="5" width="12.5"/>
    <col customWidth="1" min="6" max="6" width="13.0"/>
    <col customWidth="1" min="7" max="7" width="14.75"/>
    <col customWidth="1" min="8" max="8" width="11.5"/>
    <col customWidth="1" min="9" max="9" width="9.13"/>
    <col customWidth="1" min="10" max="10" width="30.0"/>
    <col customWidth="1" min="11" max="11" width="7.63"/>
    <col customWidth="1" min="12" max="12" width="13.13"/>
    <col customWidth="1" min="13" max="26" width="7.63"/>
  </cols>
  <sheetData>
    <row r="1" ht="14.25" customHeight="1">
      <c r="A1" s="1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10" t="s">
        <v>88</v>
      </c>
      <c r="I1" s="10" t="s">
        <v>89</v>
      </c>
      <c r="J1" s="11" t="s">
        <v>26</v>
      </c>
      <c r="K1" s="12"/>
      <c r="L1" s="11" t="s">
        <v>90</v>
      </c>
      <c r="M1" s="12"/>
      <c r="N1" s="12"/>
      <c r="O1" s="12"/>
      <c r="P1" s="12"/>
      <c r="Q1" s="12"/>
      <c r="R1" s="12"/>
      <c r="S1" s="12"/>
      <c r="T1" s="12"/>
      <c r="U1" s="12"/>
    </row>
    <row r="2" ht="14.25" customHeight="1">
      <c r="A2" s="5"/>
      <c r="B2" s="6"/>
      <c r="C2" s="6" t="s">
        <v>91</v>
      </c>
      <c r="E2" s="6" t="s">
        <v>92</v>
      </c>
      <c r="F2" s="6" t="s">
        <v>93</v>
      </c>
      <c r="G2" s="6" t="s">
        <v>94</v>
      </c>
      <c r="H2" s="6" t="s">
        <v>95</v>
      </c>
      <c r="I2" s="6" t="s">
        <v>96</v>
      </c>
      <c r="J2" s="6" t="s">
        <v>97</v>
      </c>
      <c r="K2" s="6" t="s">
        <v>98</v>
      </c>
      <c r="L2" s="6" t="s">
        <v>99</v>
      </c>
      <c r="M2" s="12"/>
      <c r="N2" s="12"/>
      <c r="O2" s="12"/>
      <c r="P2" s="12"/>
      <c r="Q2" s="12"/>
      <c r="R2" s="12"/>
      <c r="S2" s="12"/>
      <c r="T2" s="12"/>
      <c r="U2" s="12"/>
    </row>
    <row r="3" ht="14.25" customHeight="1">
      <c r="A3" s="7">
        <v>1991.0</v>
      </c>
      <c r="B3" s="13">
        <v>-18998.0</v>
      </c>
      <c r="C3" s="13">
        <v>18047.0</v>
      </c>
      <c r="D3" s="13">
        <v>-25731.0</v>
      </c>
      <c r="E3" s="13">
        <v>-2522.0</v>
      </c>
      <c r="F3" s="14">
        <v>14176.0</v>
      </c>
      <c r="G3" s="14">
        <v>-25488.0</v>
      </c>
      <c r="H3" s="11">
        <v>-23028.0</v>
      </c>
      <c r="I3" s="11">
        <v>-4911.0</v>
      </c>
      <c r="J3" s="11">
        <f t="shared" ref="J3:J36" si="1">(C3+D3)+(F3+G3)+E3-K3</f>
        <v>-3401</v>
      </c>
      <c r="K3" s="12">
        <f t="shared" ref="K3:K36" si="2">H3-I3</f>
        <v>-18117</v>
      </c>
      <c r="L3" s="12">
        <f t="shared" ref="L3:L36" si="3">J3-I3</f>
        <v>1510</v>
      </c>
      <c r="M3" s="12">
        <f t="shared" ref="M3:M12" si="4">SUM(E3:G3)</f>
        <v>-13834</v>
      </c>
      <c r="N3" s="12"/>
      <c r="O3" s="12"/>
      <c r="P3" s="12"/>
      <c r="Q3" s="12"/>
      <c r="R3" s="12"/>
      <c r="S3" s="12"/>
      <c r="T3" s="12"/>
      <c r="U3" s="12"/>
    </row>
    <row r="4" ht="14.25" customHeight="1">
      <c r="A4" s="7">
        <v>1992.0</v>
      </c>
      <c r="B4" s="15">
        <v>-16807.0</v>
      </c>
      <c r="C4" s="15">
        <v>24233.0</v>
      </c>
      <c r="D4" s="15">
        <v>-32526.0</v>
      </c>
      <c r="E4" s="15">
        <v>-1274.0</v>
      </c>
      <c r="F4" s="16">
        <v>13659.0</v>
      </c>
      <c r="G4" s="16">
        <v>-22173.0</v>
      </c>
      <c r="H4" s="11">
        <v>-23114.0</v>
      </c>
      <c r="I4" s="11">
        <v>27041.0</v>
      </c>
      <c r="J4" s="11">
        <f t="shared" si="1"/>
        <v>32074</v>
      </c>
      <c r="K4" s="12">
        <f t="shared" si="2"/>
        <v>-50155</v>
      </c>
      <c r="L4" s="12">
        <f t="shared" si="3"/>
        <v>5033</v>
      </c>
      <c r="M4" s="12">
        <f t="shared" si="4"/>
        <v>-9788</v>
      </c>
      <c r="N4" s="12"/>
      <c r="O4" s="12"/>
      <c r="P4" s="12"/>
      <c r="Q4" s="12"/>
      <c r="R4" s="12"/>
      <c r="S4" s="12"/>
      <c r="T4" s="12"/>
      <c r="U4" s="12"/>
    </row>
    <row r="5" ht="14.25" customHeight="1">
      <c r="A5" s="7">
        <v>1993.0</v>
      </c>
      <c r="B5" s="13">
        <v>-13717.0</v>
      </c>
      <c r="C5" s="13">
        <v>35538.0</v>
      </c>
      <c r="D5" s="13">
        <v>-35045.0</v>
      </c>
      <c r="E5" s="13">
        <v>-1209.0</v>
      </c>
      <c r="F5" s="14">
        <v>10174.0</v>
      </c>
      <c r="G5" s="14">
        <v>-24385.0</v>
      </c>
      <c r="H5" s="11">
        <v>-35367.0</v>
      </c>
      <c r="I5" s="11">
        <v>-11655.0</v>
      </c>
      <c r="J5" s="11">
        <f t="shared" si="1"/>
        <v>8785</v>
      </c>
      <c r="K5" s="12">
        <f t="shared" si="2"/>
        <v>-23712</v>
      </c>
      <c r="L5" s="12">
        <f t="shared" si="3"/>
        <v>20440</v>
      </c>
      <c r="M5" s="12">
        <f t="shared" si="4"/>
        <v>-15420</v>
      </c>
      <c r="N5" s="12"/>
      <c r="O5" s="12"/>
      <c r="P5" s="12"/>
      <c r="Q5" s="12"/>
      <c r="R5" s="12"/>
      <c r="S5" s="12"/>
      <c r="T5" s="12"/>
      <c r="U5" s="12"/>
    </row>
    <row r="6" ht="14.25" customHeight="1">
      <c r="A6" s="7">
        <v>1994.0</v>
      </c>
      <c r="B6" s="15">
        <v>-24082.0</v>
      </c>
      <c r="C6" s="15">
        <v>43236.0</v>
      </c>
      <c r="D6" s="15">
        <v>-40773.0</v>
      </c>
      <c r="E6" s="15">
        <v>-1380.0</v>
      </c>
      <c r="F6" s="16">
        <v>144.0</v>
      </c>
      <c r="G6" s="16">
        <v>-26689.0</v>
      </c>
      <c r="H6" s="11">
        <v>-46139.0</v>
      </c>
      <c r="I6" s="11">
        <v>-1455.0</v>
      </c>
      <c r="J6" s="11">
        <f t="shared" si="1"/>
        <v>19222</v>
      </c>
      <c r="K6" s="12">
        <f t="shared" si="2"/>
        <v>-44684</v>
      </c>
      <c r="L6" s="12">
        <f t="shared" si="3"/>
        <v>20677</v>
      </c>
      <c r="M6" s="12">
        <f t="shared" si="4"/>
        <v>-27925</v>
      </c>
      <c r="N6" s="12"/>
      <c r="O6" s="12"/>
      <c r="P6" s="12"/>
      <c r="Q6" s="12"/>
      <c r="R6" s="12"/>
      <c r="S6" s="12"/>
      <c r="T6" s="12"/>
      <c r="U6" s="12"/>
    </row>
    <row r="7" ht="14.25" customHeight="1">
      <c r="A7" s="7">
        <v>1995.0</v>
      </c>
      <c r="B7" s="13">
        <v>-20311.0</v>
      </c>
      <c r="C7" s="13">
        <v>49929.0</v>
      </c>
      <c r="D7" s="13">
        <v>-42794.0</v>
      </c>
      <c r="E7" s="13">
        <v>-2209.0</v>
      </c>
      <c r="F7" s="14">
        <v>-3195.0</v>
      </c>
      <c r="G7" s="14">
        <v>-24250.0</v>
      </c>
      <c r="H7" s="11">
        <v>-42815.0</v>
      </c>
      <c r="I7" s="11">
        <v>5294.0</v>
      </c>
      <c r="J7" s="11">
        <f t="shared" si="1"/>
        <v>25590</v>
      </c>
      <c r="K7" s="12">
        <f t="shared" si="2"/>
        <v>-48109</v>
      </c>
      <c r="L7" s="12">
        <f t="shared" si="3"/>
        <v>20296</v>
      </c>
      <c r="M7" s="12">
        <f t="shared" si="4"/>
        <v>-29654</v>
      </c>
      <c r="N7" s="12"/>
      <c r="O7" s="12"/>
      <c r="P7" s="12"/>
      <c r="Q7" s="12"/>
      <c r="R7" s="12"/>
      <c r="S7" s="12"/>
      <c r="T7" s="12"/>
      <c r="U7" s="12"/>
    </row>
    <row r="8" ht="14.25" customHeight="1">
      <c r="A8" s="7">
        <v>1996.0</v>
      </c>
      <c r="B8" s="15">
        <v>-9343.0</v>
      </c>
      <c r="C8" s="15">
        <v>57864.0</v>
      </c>
      <c r="D8" s="15">
        <v>-44766.0</v>
      </c>
      <c r="E8" s="15">
        <v>-2272.0</v>
      </c>
      <c r="F8" s="16">
        <v>-387.0</v>
      </c>
      <c r="G8" s="16">
        <v>-22054.0</v>
      </c>
      <c r="H8" s="11">
        <v>-29005.0</v>
      </c>
      <c r="I8" s="11">
        <v>-962.0</v>
      </c>
      <c r="J8" s="11">
        <f t="shared" si="1"/>
        <v>16428</v>
      </c>
      <c r="K8" s="12">
        <f t="shared" si="2"/>
        <v>-28043</v>
      </c>
      <c r="L8" s="12">
        <f t="shared" si="3"/>
        <v>17390</v>
      </c>
      <c r="M8" s="12">
        <f t="shared" si="4"/>
        <v>-24713</v>
      </c>
      <c r="N8" s="12"/>
      <c r="O8" s="12"/>
      <c r="P8" s="12"/>
      <c r="Q8" s="12"/>
      <c r="R8" s="12"/>
      <c r="S8" s="12"/>
      <c r="T8" s="12"/>
      <c r="U8" s="12"/>
    </row>
    <row r="9" ht="14.25" customHeight="1">
      <c r="A9" s="7">
        <v>1997.0</v>
      </c>
      <c r="B9" s="13">
        <v>-6758.0</v>
      </c>
      <c r="C9" s="13">
        <v>66119.0</v>
      </c>
      <c r="D9" s="13">
        <v>-45679.0</v>
      </c>
      <c r="E9" s="13">
        <v>-419.0</v>
      </c>
      <c r="F9" s="14">
        <v>-4494.0</v>
      </c>
      <c r="G9" s="14">
        <v>-22705.0</v>
      </c>
      <c r="H9" s="11">
        <v>-25519.0</v>
      </c>
      <c r="I9" s="11">
        <v>-3395.0</v>
      </c>
      <c r="J9" s="11">
        <f t="shared" si="1"/>
        <v>14946</v>
      </c>
      <c r="K9" s="12">
        <f t="shared" si="2"/>
        <v>-22124</v>
      </c>
      <c r="L9" s="12">
        <f t="shared" si="3"/>
        <v>18341</v>
      </c>
      <c r="M9" s="12">
        <f t="shared" si="4"/>
        <v>-27618</v>
      </c>
      <c r="N9" s="12"/>
      <c r="O9" s="12"/>
      <c r="P9" s="12"/>
      <c r="Q9" s="12"/>
      <c r="R9" s="12"/>
      <c r="S9" s="12"/>
      <c r="T9" s="12"/>
      <c r="U9" s="12"/>
    </row>
    <row r="10" ht="14.25" customHeight="1">
      <c r="A10" s="7">
        <v>1998.0</v>
      </c>
      <c r="B10" s="15">
        <v>-10064.0</v>
      </c>
      <c r="C10" s="15">
        <v>70425.0</v>
      </c>
      <c r="D10" s="15">
        <v>-46550.0</v>
      </c>
      <c r="E10" s="15">
        <v>-422.0</v>
      </c>
      <c r="F10" s="16">
        <v>-10936.0</v>
      </c>
      <c r="G10" s="16">
        <v>-23002.0</v>
      </c>
      <c r="H10" s="11">
        <v>-28684.0</v>
      </c>
      <c r="I10" s="11">
        <v>3644.0</v>
      </c>
      <c r="J10" s="11">
        <f t="shared" si="1"/>
        <v>21843</v>
      </c>
      <c r="K10" s="12">
        <f t="shared" si="2"/>
        <v>-32328</v>
      </c>
      <c r="L10" s="12">
        <f t="shared" si="3"/>
        <v>18199</v>
      </c>
      <c r="M10" s="12">
        <f t="shared" si="4"/>
        <v>-34360</v>
      </c>
      <c r="N10" s="12"/>
      <c r="O10" s="12"/>
      <c r="P10" s="12"/>
      <c r="Q10" s="12"/>
      <c r="R10" s="12"/>
      <c r="S10" s="12"/>
      <c r="T10" s="12"/>
      <c r="U10" s="12"/>
    </row>
    <row r="11" ht="14.25" customHeight="1">
      <c r="A11" s="7">
        <v>1999.0</v>
      </c>
      <c r="B11" s="13">
        <v>-24039.0</v>
      </c>
      <c r="C11" s="13">
        <v>67034.0</v>
      </c>
      <c r="D11" s="13">
        <v>-55466.0</v>
      </c>
      <c r="E11" s="13">
        <v>-922.0</v>
      </c>
      <c r="F11" s="14">
        <v>-14537.0</v>
      </c>
      <c r="G11" s="14">
        <v>-21071.0</v>
      </c>
      <c r="H11" s="11">
        <v>-11292.0</v>
      </c>
      <c r="I11" s="11">
        <v>-12535.0</v>
      </c>
      <c r="J11" s="11">
        <f t="shared" si="1"/>
        <v>-26205</v>
      </c>
      <c r="K11" s="12">
        <f t="shared" si="2"/>
        <v>1243</v>
      </c>
      <c r="L11" s="12">
        <f t="shared" si="3"/>
        <v>-13670</v>
      </c>
      <c r="M11" s="12">
        <f t="shared" si="4"/>
        <v>-36530</v>
      </c>
      <c r="N11" s="12"/>
      <c r="O11" s="12"/>
      <c r="P11" s="12"/>
      <c r="Q11" s="12"/>
      <c r="R11" s="12"/>
      <c r="S11" s="12"/>
      <c r="T11" s="12"/>
      <c r="U11" s="12"/>
    </row>
    <row r="12" ht="14.25" customHeight="1">
      <c r="A12" s="7">
        <v>2000.0</v>
      </c>
      <c r="B12" s="15">
        <v>-32459.0</v>
      </c>
      <c r="C12" s="15">
        <v>63133.0</v>
      </c>
      <c r="D12" s="15">
        <v>-59284.0</v>
      </c>
      <c r="E12" s="15">
        <v>5084.0</v>
      </c>
      <c r="F12" s="16">
        <v>-12267.0</v>
      </c>
      <c r="G12" s="16">
        <v>-24041.0</v>
      </c>
      <c r="H12" s="11">
        <v>-57232.0</v>
      </c>
      <c r="I12" s="11">
        <v>-5844.0</v>
      </c>
      <c r="J12" s="11">
        <f t="shared" si="1"/>
        <v>24013</v>
      </c>
      <c r="K12" s="12">
        <f t="shared" si="2"/>
        <v>-51388</v>
      </c>
      <c r="L12" s="12">
        <f t="shared" si="3"/>
        <v>29857</v>
      </c>
      <c r="M12" s="12">
        <f t="shared" si="4"/>
        <v>-31224</v>
      </c>
      <c r="N12" s="12"/>
      <c r="O12" s="12"/>
      <c r="P12" s="12"/>
      <c r="Q12" s="12"/>
      <c r="R12" s="12"/>
      <c r="S12" s="12"/>
      <c r="T12" s="12"/>
      <c r="U12" s="12"/>
    </row>
    <row r="13" ht="14.25" customHeight="1">
      <c r="A13" s="7">
        <v>2001.0</v>
      </c>
      <c r="B13" s="13">
        <v>-3809.0</v>
      </c>
      <c r="C13" s="13">
        <v>99369.0</v>
      </c>
      <c r="D13" s="13">
        <v>-64876.0</v>
      </c>
      <c r="E13" s="13">
        <v>-3260.0</v>
      </c>
      <c r="F13" s="14">
        <v>-15603.0</v>
      </c>
      <c r="G13" s="14">
        <v>-22700.0</v>
      </c>
      <c r="H13" s="11">
        <v>-11576.0</v>
      </c>
      <c r="I13" s="11">
        <v>-6032.0</v>
      </c>
      <c r="J13" s="11">
        <f t="shared" si="1"/>
        <v>-1526</v>
      </c>
      <c r="K13" s="12">
        <f t="shared" si="2"/>
        <v>-5544</v>
      </c>
      <c r="L13" s="12">
        <f t="shared" si="3"/>
        <v>4506</v>
      </c>
      <c r="M13" s="12"/>
      <c r="N13" s="12"/>
      <c r="O13" s="12"/>
      <c r="P13" s="12"/>
      <c r="Q13" s="12"/>
      <c r="R13" s="12"/>
      <c r="S13" s="12"/>
      <c r="T13" s="12"/>
      <c r="U13" s="12"/>
    </row>
    <row r="14" ht="14.25" customHeight="1">
      <c r="A14" s="7">
        <v>2002.0</v>
      </c>
      <c r="B14" s="15">
        <v>43450.0</v>
      </c>
      <c r="C14" s="15">
        <v>138492.0</v>
      </c>
      <c r="D14" s="15">
        <v>-48235.0</v>
      </c>
      <c r="E14" s="15">
        <v>-4144.0</v>
      </c>
      <c r="F14" s="16">
        <v>-23137.0</v>
      </c>
      <c r="G14" s="16">
        <v>-23671.0</v>
      </c>
      <c r="H14" s="11">
        <v>-5756.0</v>
      </c>
      <c r="I14" s="11">
        <v>-2065.0</v>
      </c>
      <c r="J14" s="11">
        <f t="shared" si="1"/>
        <v>42996</v>
      </c>
      <c r="K14" s="12">
        <f t="shared" si="2"/>
        <v>-3691</v>
      </c>
      <c r="L14" s="12">
        <f t="shared" si="3"/>
        <v>45061</v>
      </c>
      <c r="M14" s="12"/>
      <c r="N14" s="12"/>
      <c r="O14" s="12"/>
      <c r="P14" s="12"/>
      <c r="Q14" s="12"/>
      <c r="R14" s="12"/>
      <c r="S14" s="12"/>
      <c r="T14" s="12"/>
      <c r="U14" s="12"/>
    </row>
    <row r="15" ht="14.25" customHeight="1">
      <c r="A15" s="7">
        <v>2003.0</v>
      </c>
      <c r="B15" s="13">
        <v>33599.0</v>
      </c>
      <c r="C15" s="13">
        <v>126921.0</v>
      </c>
      <c r="D15" s="13">
        <v>-45552.0</v>
      </c>
      <c r="E15" s="13">
        <v>5878.0</v>
      </c>
      <c r="F15" s="14">
        <v>-22903.0</v>
      </c>
      <c r="G15" s="14">
        <v>-24865.0</v>
      </c>
      <c r="H15" s="12">
        <f>31880</f>
        <v>31880</v>
      </c>
      <c r="I15" s="11">
        <v>-445.0</v>
      </c>
      <c r="J15" s="11">
        <f t="shared" si="1"/>
        <v>7154</v>
      </c>
      <c r="K15" s="12">
        <f t="shared" si="2"/>
        <v>32325</v>
      </c>
      <c r="L15" s="12">
        <f t="shared" si="3"/>
        <v>7599</v>
      </c>
      <c r="M15" s="12"/>
      <c r="N15" s="12"/>
      <c r="O15" s="12"/>
      <c r="P15" s="12"/>
      <c r="Q15" s="12"/>
      <c r="R15" s="12"/>
      <c r="S15" s="12"/>
      <c r="T15" s="12"/>
      <c r="U15" s="12"/>
    </row>
    <row r="16" ht="14.25" customHeight="1">
      <c r="A16" s="7">
        <v>2004.0</v>
      </c>
      <c r="B16" s="15">
        <v>103518.0</v>
      </c>
      <c r="C16" s="15">
        <v>149033.0</v>
      </c>
      <c r="D16" s="15">
        <v>-35023.0</v>
      </c>
      <c r="E16" s="15">
        <v>-11.0</v>
      </c>
      <c r="F16" s="16">
        <v>13706.0</v>
      </c>
      <c r="G16" s="16">
        <v>-24198.0</v>
      </c>
      <c r="H16" s="11">
        <v>97102.0</v>
      </c>
      <c r="I16" s="11">
        <v>-1470.0</v>
      </c>
      <c r="J16" s="11">
        <f t="shared" si="1"/>
        <v>4935</v>
      </c>
      <c r="K16" s="12">
        <f t="shared" si="2"/>
        <v>98572</v>
      </c>
      <c r="L16" s="12">
        <f t="shared" si="3"/>
        <v>6405</v>
      </c>
      <c r="M16" s="12"/>
      <c r="N16" s="12"/>
      <c r="O16" s="12"/>
      <c r="P16" s="12"/>
      <c r="Q16" s="12"/>
      <c r="R16" s="12"/>
      <c r="S16" s="12"/>
      <c r="T16" s="12"/>
      <c r="U16" s="12"/>
    </row>
    <row r="17" ht="14.25" customHeight="1">
      <c r="A17" s="7">
        <v>2005.0</v>
      </c>
      <c r="B17" s="13">
        <v>108171.0</v>
      </c>
      <c r="C17" s="13">
        <v>152721.0</v>
      </c>
      <c r="D17" s="13">
        <v>-37540.0</v>
      </c>
      <c r="E17" s="13">
        <v>-2760.0</v>
      </c>
      <c r="F17" s="14">
        <v>18836.0</v>
      </c>
      <c r="G17" s="14">
        <v>-25846.0</v>
      </c>
      <c r="H17" s="11">
        <v>80475.0</v>
      </c>
      <c r="I17" s="11">
        <v>-2182.0</v>
      </c>
      <c r="J17" s="11">
        <f t="shared" si="1"/>
        <v>22754</v>
      </c>
      <c r="K17" s="12">
        <f t="shared" si="2"/>
        <v>82657</v>
      </c>
      <c r="L17" s="12">
        <f t="shared" si="3"/>
        <v>24936</v>
      </c>
      <c r="M17" s="12"/>
      <c r="N17" s="12"/>
      <c r="O17" s="12"/>
      <c r="P17" s="12"/>
      <c r="Q17" s="12"/>
      <c r="R17" s="12"/>
      <c r="S17" s="12"/>
      <c r="T17" s="12"/>
      <c r="U17" s="12"/>
    </row>
    <row r="18" ht="14.25" customHeight="1">
      <c r="A18" s="7">
        <v>2006.0</v>
      </c>
      <c r="B18" s="15">
        <v>140953.0</v>
      </c>
      <c r="C18" s="15">
        <v>157411.0</v>
      </c>
      <c r="D18" s="15">
        <v>-31572.0</v>
      </c>
      <c r="E18" s="15">
        <v>-1418.0</v>
      </c>
      <c r="F18" s="16">
        <v>40329.0</v>
      </c>
      <c r="G18" s="16">
        <v>-25214.0</v>
      </c>
      <c r="H18" s="11">
        <v>142732.0</v>
      </c>
      <c r="I18" s="11">
        <v>-2934.0</v>
      </c>
      <c r="J18" s="11">
        <f t="shared" si="1"/>
        <v>-6130</v>
      </c>
      <c r="K18" s="12">
        <f t="shared" si="2"/>
        <v>145666</v>
      </c>
      <c r="L18" s="12">
        <f t="shared" si="3"/>
        <v>-3196</v>
      </c>
      <c r="M18" s="12"/>
      <c r="N18" s="12"/>
      <c r="O18" s="12"/>
      <c r="P18" s="12"/>
      <c r="Q18" s="12"/>
      <c r="R18" s="12"/>
      <c r="S18" s="12"/>
      <c r="T18" s="12"/>
      <c r="U18" s="12"/>
    </row>
    <row r="19" ht="14.25" customHeight="1">
      <c r="A19" s="7">
        <v>2007.0</v>
      </c>
      <c r="B19" s="13">
        <v>169607.0</v>
      </c>
      <c r="C19" s="13">
        <v>194773.0</v>
      </c>
      <c r="D19" s="13">
        <v>-31998.0</v>
      </c>
      <c r="E19" s="13">
        <v>-1471.0</v>
      </c>
      <c r="F19" s="14">
        <v>36241.0</v>
      </c>
      <c r="G19" s="14">
        <v>-29408.0</v>
      </c>
      <c r="H19" s="11">
        <v>165218.0</v>
      </c>
      <c r="I19" s="11">
        <v>953.0</v>
      </c>
      <c r="J19" s="11">
        <f t="shared" si="1"/>
        <v>3872</v>
      </c>
      <c r="K19" s="12">
        <f t="shared" si="2"/>
        <v>164265</v>
      </c>
      <c r="L19" s="12">
        <f t="shared" si="3"/>
        <v>2919</v>
      </c>
      <c r="M19" s="12"/>
      <c r="N19" s="12"/>
      <c r="O19" s="12"/>
      <c r="P19" s="12"/>
      <c r="Q19" s="12"/>
      <c r="R19" s="12"/>
      <c r="S19" s="12"/>
      <c r="T19" s="12"/>
      <c r="U19" s="12"/>
    </row>
    <row r="20" ht="14.25" customHeight="1">
      <c r="A20" s="7">
        <v>2008.0</v>
      </c>
      <c r="B20" s="15">
        <v>145027.0</v>
      </c>
      <c r="C20" s="15">
        <v>178851.0</v>
      </c>
      <c r="D20" s="15">
        <v>-28541.0</v>
      </c>
      <c r="E20" s="15">
        <v>-1826.0</v>
      </c>
      <c r="F20" s="16">
        <v>24763.0</v>
      </c>
      <c r="G20" s="16">
        <v>-30045.0</v>
      </c>
      <c r="H20" s="11">
        <v>106582.0</v>
      </c>
      <c r="I20" s="11">
        <v>2008.0</v>
      </c>
      <c r="J20" s="11">
        <f t="shared" si="1"/>
        <v>38628</v>
      </c>
      <c r="K20" s="12">
        <f t="shared" si="2"/>
        <v>104574</v>
      </c>
      <c r="L20" s="12">
        <f t="shared" si="3"/>
        <v>36620</v>
      </c>
      <c r="M20" s="12"/>
      <c r="N20" s="12"/>
      <c r="O20" s="12"/>
      <c r="P20" s="12"/>
      <c r="Q20" s="12"/>
      <c r="R20" s="12"/>
      <c r="S20" s="12"/>
      <c r="T20" s="12"/>
      <c r="U20" s="12"/>
    </row>
    <row r="21" ht="14.25" customHeight="1">
      <c r="A21" s="7">
        <v>2009.0</v>
      </c>
      <c r="B21" s="13">
        <v>144787.0</v>
      </c>
      <c r="C21" s="13">
        <v>136636.0</v>
      </c>
      <c r="D21" s="13">
        <v>-16961.0</v>
      </c>
      <c r="E21" s="13">
        <v>-1798.0</v>
      </c>
      <c r="F21" s="14">
        <v>55894.0</v>
      </c>
      <c r="G21" s="14">
        <v>-30781.0</v>
      </c>
      <c r="H21" s="11">
        <v>111873.0</v>
      </c>
      <c r="I21" s="11">
        <v>8648.0</v>
      </c>
      <c r="J21" s="11">
        <f t="shared" si="1"/>
        <v>39765</v>
      </c>
      <c r="K21" s="12">
        <f t="shared" si="2"/>
        <v>103225</v>
      </c>
      <c r="L21" s="12">
        <f t="shared" si="3"/>
        <v>31117</v>
      </c>
      <c r="M21" s="12"/>
      <c r="N21" s="12"/>
      <c r="O21" s="12"/>
      <c r="P21" s="12"/>
      <c r="Q21" s="12"/>
      <c r="R21" s="12"/>
      <c r="S21" s="12"/>
      <c r="T21" s="12"/>
      <c r="U21" s="12"/>
    </row>
    <row r="22" ht="14.25" customHeight="1">
      <c r="A22" s="7">
        <v>2010.0</v>
      </c>
      <c r="B22" s="15">
        <v>150210.0</v>
      </c>
      <c r="C22" s="15">
        <v>159327.0</v>
      </c>
      <c r="D22" s="15">
        <v>-25147.0</v>
      </c>
      <c r="E22" s="15">
        <v>19.0</v>
      </c>
      <c r="F22" s="16">
        <v>52345.0</v>
      </c>
      <c r="G22" s="16">
        <v>-36317.0</v>
      </c>
      <c r="H22" s="11">
        <v>73036.0</v>
      </c>
      <c r="I22" s="11">
        <v>1613.0</v>
      </c>
      <c r="J22" s="11">
        <f t="shared" si="1"/>
        <v>78804</v>
      </c>
      <c r="K22" s="12">
        <f t="shared" si="2"/>
        <v>71423</v>
      </c>
      <c r="L22" s="12">
        <f t="shared" si="3"/>
        <v>77191</v>
      </c>
      <c r="M22" s="12"/>
      <c r="N22" s="12"/>
      <c r="O22" s="12"/>
      <c r="P22" s="12"/>
      <c r="Q22" s="12"/>
      <c r="R22" s="12"/>
      <c r="S22" s="12"/>
      <c r="T22" s="12"/>
      <c r="U22" s="12"/>
    </row>
    <row r="23" ht="14.25" customHeight="1">
      <c r="A23" s="7">
        <v>2011.0</v>
      </c>
      <c r="B23" s="13">
        <v>172828.0</v>
      </c>
      <c r="C23" s="13">
        <v>164171.0</v>
      </c>
      <c r="D23" s="13">
        <v>-30158.0</v>
      </c>
      <c r="E23" s="13">
        <v>-1069.0</v>
      </c>
      <c r="F23" s="14">
        <v>70336.0</v>
      </c>
      <c r="G23" s="14">
        <v>-31522.0</v>
      </c>
      <c r="H23" s="11">
        <v>101101.0</v>
      </c>
      <c r="I23" s="11">
        <v>2836.0</v>
      </c>
      <c r="J23" s="11">
        <f t="shared" si="1"/>
        <v>73493</v>
      </c>
      <c r="K23" s="12">
        <f t="shared" si="2"/>
        <v>98265</v>
      </c>
      <c r="L23" s="12">
        <f t="shared" si="3"/>
        <v>70657</v>
      </c>
      <c r="M23" s="12"/>
      <c r="N23" s="12"/>
      <c r="O23" s="12"/>
      <c r="P23" s="12"/>
      <c r="Q23" s="12"/>
      <c r="R23" s="12"/>
      <c r="S23" s="12"/>
      <c r="T23" s="12"/>
      <c r="U23" s="12"/>
    </row>
    <row r="24" ht="14.25" customHeight="1">
      <c r="A24" s="7">
        <v>2012.0</v>
      </c>
      <c r="B24" s="15">
        <v>201278.0</v>
      </c>
      <c r="C24" s="15">
        <v>200916.0</v>
      </c>
      <c r="D24" s="15">
        <v>-31425.0</v>
      </c>
      <c r="E24" s="15">
        <v>-2167.0</v>
      </c>
      <c r="F24" s="16">
        <v>67296.0</v>
      </c>
      <c r="G24" s="16">
        <v>-35510.0</v>
      </c>
      <c r="H24" s="11">
        <v>131252.0</v>
      </c>
      <c r="I24" s="11">
        <v>1297.0</v>
      </c>
      <c r="J24" s="11">
        <f t="shared" si="1"/>
        <v>69155</v>
      </c>
      <c r="K24" s="12">
        <f t="shared" si="2"/>
        <v>129955</v>
      </c>
      <c r="L24" s="12">
        <f t="shared" si="3"/>
        <v>67858</v>
      </c>
      <c r="M24" s="12"/>
      <c r="N24" s="12"/>
      <c r="O24" s="12"/>
      <c r="P24" s="12"/>
      <c r="Q24" s="12"/>
      <c r="R24" s="12"/>
      <c r="S24" s="12"/>
      <c r="T24" s="12"/>
      <c r="U24" s="12"/>
    </row>
    <row r="25" ht="14.25" customHeight="1">
      <c r="A25" s="7">
        <v>2013.0</v>
      </c>
      <c r="B25" s="13">
        <v>192345.0</v>
      </c>
      <c r="C25" s="13">
        <v>199951.0</v>
      </c>
      <c r="D25" s="13">
        <v>-34258.0</v>
      </c>
      <c r="E25" s="13">
        <v>-2970.0</v>
      </c>
      <c r="F25" s="14">
        <v>66871.0</v>
      </c>
      <c r="G25" s="14">
        <v>-40218.0</v>
      </c>
      <c r="H25" s="11">
        <v>200883.0</v>
      </c>
      <c r="I25" s="11">
        <v>838.0</v>
      </c>
      <c r="J25" s="11">
        <f t="shared" si="1"/>
        <v>-10669</v>
      </c>
      <c r="K25" s="12">
        <f t="shared" si="2"/>
        <v>200045</v>
      </c>
      <c r="L25" s="12">
        <f t="shared" si="3"/>
        <v>-11507</v>
      </c>
      <c r="M25" s="12"/>
      <c r="N25" s="12"/>
      <c r="O25" s="12"/>
      <c r="P25" s="12"/>
      <c r="Q25" s="12"/>
      <c r="R25" s="12"/>
      <c r="S25" s="12"/>
      <c r="T25" s="12"/>
      <c r="U25" s="12"/>
    </row>
    <row r="26" ht="14.25" customHeight="1">
      <c r="A26" s="7">
        <v>2014.0</v>
      </c>
      <c r="B26" s="15">
        <v>215933.0</v>
      </c>
      <c r="C26" s="15">
        <v>218515.0</v>
      </c>
      <c r="D26" s="15">
        <v>-22941.0</v>
      </c>
      <c r="E26" s="15">
        <v>335.0</v>
      </c>
      <c r="F26" s="16">
        <v>61801.0</v>
      </c>
      <c r="G26" s="16">
        <v>-41442.0</v>
      </c>
      <c r="H26" s="11">
        <v>231400.0</v>
      </c>
      <c r="I26" s="11">
        <v>-2564.0</v>
      </c>
      <c r="J26" s="11">
        <f t="shared" si="1"/>
        <v>-17696</v>
      </c>
      <c r="K26" s="12">
        <f t="shared" si="2"/>
        <v>233964</v>
      </c>
      <c r="L26" s="12">
        <f t="shared" si="3"/>
        <v>-15132</v>
      </c>
      <c r="M26" s="12"/>
      <c r="N26" s="12"/>
      <c r="O26" s="12"/>
      <c r="P26" s="12"/>
      <c r="Q26" s="12"/>
      <c r="R26" s="12"/>
      <c r="S26" s="12"/>
      <c r="T26" s="12"/>
      <c r="U26" s="12"/>
    </row>
    <row r="27" ht="14.25" customHeight="1">
      <c r="A27" s="7">
        <v>2015.0</v>
      </c>
      <c r="B27" s="13">
        <v>250087.0</v>
      </c>
      <c r="C27" s="13">
        <v>245055.0</v>
      </c>
      <c r="D27" s="13">
        <v>-16237.0</v>
      </c>
      <c r="E27" s="13">
        <v>-1769.0</v>
      </c>
      <c r="F27" s="14">
        <v>60039.0</v>
      </c>
      <c r="G27" s="14">
        <v>-38770.0</v>
      </c>
      <c r="H27" s="11">
        <v>227420.0</v>
      </c>
      <c r="I27" s="11">
        <v>-2213.0</v>
      </c>
      <c r="J27" s="11">
        <f t="shared" si="1"/>
        <v>18685</v>
      </c>
      <c r="K27" s="12">
        <f t="shared" si="2"/>
        <v>229633</v>
      </c>
      <c r="L27" s="12">
        <f t="shared" si="3"/>
        <v>20898</v>
      </c>
      <c r="M27" s="12"/>
      <c r="N27" s="12"/>
      <c r="O27" s="12"/>
      <c r="P27" s="12"/>
      <c r="Q27" s="12"/>
      <c r="R27" s="12"/>
      <c r="S27" s="12"/>
      <c r="T27" s="12"/>
      <c r="U27" s="12"/>
    </row>
    <row r="28" ht="14.25" customHeight="1">
      <c r="A28" s="7">
        <v>2016.0</v>
      </c>
      <c r="B28" s="15">
        <v>284661.0</v>
      </c>
      <c r="C28" s="15">
        <v>250396.0</v>
      </c>
      <c r="D28" s="15">
        <v>-18346.0</v>
      </c>
      <c r="E28" s="15">
        <v>-1345.0</v>
      </c>
      <c r="F28" s="16">
        <v>90870.0</v>
      </c>
      <c r="G28" s="16">
        <v>-38260.0</v>
      </c>
      <c r="H28" s="11">
        <v>269282.0</v>
      </c>
      <c r="I28" s="11">
        <v>1686.0</v>
      </c>
      <c r="J28" s="11">
        <f t="shared" si="1"/>
        <v>15719</v>
      </c>
      <c r="K28" s="12">
        <f t="shared" si="2"/>
        <v>267596</v>
      </c>
      <c r="L28" s="12">
        <f t="shared" si="3"/>
        <v>14033</v>
      </c>
      <c r="M28" s="12"/>
      <c r="N28" s="12"/>
      <c r="O28" s="12"/>
      <c r="P28" s="12"/>
      <c r="Q28" s="12"/>
      <c r="R28" s="12"/>
      <c r="S28" s="12"/>
      <c r="T28" s="12"/>
      <c r="U28" s="12"/>
    </row>
    <row r="29" ht="14.25" customHeight="1">
      <c r="A29" s="7">
        <v>2017.0</v>
      </c>
      <c r="B29" s="13">
        <v>268729.0</v>
      </c>
      <c r="C29" s="13">
        <v>257041.0</v>
      </c>
      <c r="D29" s="13">
        <v>-21211.0</v>
      </c>
      <c r="E29" s="13">
        <v>-6479.0</v>
      </c>
      <c r="F29" s="14">
        <v>83865.0</v>
      </c>
      <c r="G29" s="14">
        <v>-50964.0</v>
      </c>
      <c r="H29" s="11">
        <v>274766.0</v>
      </c>
      <c r="I29" s="11">
        <v>-1269.0</v>
      </c>
      <c r="J29" s="11">
        <f t="shared" si="1"/>
        <v>-13783</v>
      </c>
      <c r="K29" s="12">
        <f t="shared" si="2"/>
        <v>276035</v>
      </c>
      <c r="L29" s="12">
        <f t="shared" si="3"/>
        <v>-12514</v>
      </c>
      <c r="M29" s="12"/>
      <c r="N29" s="12"/>
      <c r="O29" s="12"/>
      <c r="P29" s="12"/>
      <c r="Q29" s="12"/>
      <c r="R29" s="12"/>
      <c r="S29" s="12"/>
      <c r="T29" s="12"/>
      <c r="U29" s="12"/>
    </row>
    <row r="30" ht="14.25" customHeight="1">
      <c r="A30" s="7">
        <v>2018.0</v>
      </c>
      <c r="B30" s="15">
        <v>289187.0</v>
      </c>
      <c r="C30" s="15">
        <v>218739.0</v>
      </c>
      <c r="D30" s="15">
        <v>-14010.0</v>
      </c>
      <c r="E30" s="15">
        <v>-3603.0</v>
      </c>
      <c r="F30" s="16">
        <v>134180.0</v>
      </c>
      <c r="G30" s="16">
        <v>-49721.0</v>
      </c>
      <c r="H30" s="11">
        <v>261115.0</v>
      </c>
      <c r="I30" s="11">
        <v>392.0</v>
      </c>
      <c r="J30" s="11">
        <f t="shared" si="1"/>
        <v>24862</v>
      </c>
      <c r="K30" s="12">
        <f t="shared" si="2"/>
        <v>260723</v>
      </c>
      <c r="L30" s="12">
        <f t="shared" si="3"/>
        <v>24470</v>
      </c>
      <c r="M30" s="12"/>
      <c r="N30" s="12"/>
      <c r="O30" s="12"/>
      <c r="P30" s="12"/>
      <c r="Q30" s="12"/>
      <c r="R30" s="12"/>
      <c r="S30" s="12"/>
      <c r="T30" s="12"/>
      <c r="U30" s="12"/>
    </row>
    <row r="31" ht="14.25" customHeight="1">
      <c r="A31" s="7">
        <v>2019.0</v>
      </c>
      <c r="B31" s="13">
        <v>278477.0</v>
      </c>
      <c r="C31" s="13">
        <v>213201.0</v>
      </c>
      <c r="D31" s="13">
        <v>-14442.0</v>
      </c>
      <c r="E31" s="13">
        <v>-4907.0</v>
      </c>
      <c r="F31" s="14">
        <v>130093.0</v>
      </c>
      <c r="G31" s="14">
        <v>-50375.0</v>
      </c>
      <c r="H31" s="11">
        <v>200831.0</v>
      </c>
      <c r="I31" s="11">
        <v>-544.0</v>
      </c>
      <c r="J31" s="11">
        <f t="shared" si="1"/>
        <v>72195</v>
      </c>
      <c r="K31" s="12">
        <f t="shared" si="2"/>
        <v>201375</v>
      </c>
      <c r="L31" s="12">
        <f t="shared" si="3"/>
        <v>72739</v>
      </c>
      <c r="M31" s="12"/>
      <c r="N31" s="12"/>
      <c r="O31" s="12"/>
      <c r="P31" s="12"/>
      <c r="Q31" s="12"/>
      <c r="R31" s="12"/>
      <c r="S31" s="12"/>
      <c r="T31" s="12"/>
      <c r="U31" s="12"/>
    </row>
    <row r="32" ht="14.25" customHeight="1">
      <c r="A32" s="7">
        <v>2020.0</v>
      </c>
      <c r="B32" s="15">
        <v>218030.0</v>
      </c>
      <c r="C32" s="15">
        <v>177741.0</v>
      </c>
      <c r="D32" s="15">
        <v>6633.0</v>
      </c>
      <c r="E32" s="15">
        <v>-10520.0</v>
      </c>
      <c r="F32" s="16">
        <v>87061.0</v>
      </c>
      <c r="G32" s="16">
        <v>-53405.0</v>
      </c>
      <c r="H32" s="11">
        <v>168954.0</v>
      </c>
      <c r="I32" s="11">
        <v>-51.0</v>
      </c>
      <c r="J32" s="11">
        <f t="shared" si="1"/>
        <v>38505</v>
      </c>
      <c r="K32" s="12">
        <f t="shared" si="2"/>
        <v>169005</v>
      </c>
      <c r="L32" s="12">
        <f t="shared" si="3"/>
        <v>38556</v>
      </c>
      <c r="M32" s="12"/>
      <c r="N32" s="12"/>
      <c r="O32" s="12"/>
      <c r="P32" s="12"/>
      <c r="Q32" s="12"/>
      <c r="R32" s="12"/>
      <c r="S32" s="12"/>
      <c r="T32" s="12"/>
      <c r="U32" s="12"/>
    </row>
    <row r="33" ht="14.25" customHeight="1">
      <c r="A33" s="7">
        <v>2021.0</v>
      </c>
      <c r="B33" s="13">
        <v>254407.0</v>
      </c>
      <c r="C33" s="13">
        <v>187660.0</v>
      </c>
      <c r="D33" s="13">
        <v>3832.0</v>
      </c>
      <c r="E33" s="13">
        <v>-3480.0</v>
      </c>
      <c r="F33" s="14">
        <v>122860.0</v>
      </c>
      <c r="G33" s="14">
        <v>-59947.0</v>
      </c>
      <c r="H33" s="11">
        <v>205068.0</v>
      </c>
      <c r="I33" s="11">
        <v>31892.0</v>
      </c>
      <c r="J33" s="11">
        <f t="shared" si="1"/>
        <v>77749</v>
      </c>
      <c r="K33" s="12">
        <f t="shared" si="2"/>
        <v>173176</v>
      </c>
      <c r="L33" s="12">
        <f t="shared" si="3"/>
        <v>45857</v>
      </c>
      <c r="M33" s="12"/>
      <c r="N33" s="12"/>
      <c r="O33" s="12"/>
      <c r="P33" s="12"/>
      <c r="Q33" s="12"/>
      <c r="R33" s="12"/>
      <c r="S33" s="12"/>
      <c r="T33" s="12"/>
      <c r="U33" s="12"/>
    </row>
    <row r="34" ht="14.25" customHeight="1">
      <c r="A34" s="7">
        <v>2022.0</v>
      </c>
      <c r="B34" s="15">
        <v>152037.0</v>
      </c>
      <c r="C34" s="15">
        <v>133231.0</v>
      </c>
      <c r="D34" s="15">
        <v>-32036.0</v>
      </c>
      <c r="E34" s="15">
        <v>-20742.0</v>
      </c>
      <c r="F34" s="16">
        <v>119281.0</v>
      </c>
      <c r="G34" s="16">
        <v>-68441.0</v>
      </c>
      <c r="H34" s="11">
        <v>150721.0</v>
      </c>
      <c r="I34" s="11">
        <v>4426.0</v>
      </c>
      <c r="J34" s="11">
        <f t="shared" si="1"/>
        <v>-15002</v>
      </c>
      <c r="K34" s="12">
        <f t="shared" si="2"/>
        <v>146295</v>
      </c>
      <c r="L34" s="12">
        <f t="shared" si="3"/>
        <v>-19428</v>
      </c>
      <c r="M34" s="12"/>
      <c r="N34" s="12"/>
      <c r="O34" s="12"/>
      <c r="P34" s="12"/>
      <c r="Q34" s="12"/>
      <c r="R34" s="12"/>
      <c r="S34" s="12"/>
      <c r="T34" s="12"/>
      <c r="U34" s="12"/>
    </row>
    <row r="35" ht="14.25" customHeight="1">
      <c r="A35" s="7">
        <v>2023.0</v>
      </c>
      <c r="B35" s="13">
        <v>232793.0</v>
      </c>
      <c r="C35" s="13">
        <v>227114.0</v>
      </c>
      <c r="D35" s="13">
        <v>-63438.0</v>
      </c>
      <c r="E35" s="13">
        <v>-26771.0</v>
      </c>
      <c r="F35" s="14">
        <v>136787.0</v>
      </c>
      <c r="G35" s="14">
        <v>-67671.0</v>
      </c>
      <c r="H35" s="11">
        <v>195438.0</v>
      </c>
      <c r="I35" s="11">
        <v>884.0</v>
      </c>
      <c r="J35" s="11">
        <f t="shared" si="1"/>
        <v>11467</v>
      </c>
      <c r="K35" s="12">
        <f t="shared" si="2"/>
        <v>194554</v>
      </c>
      <c r="L35" s="12">
        <f t="shared" si="3"/>
        <v>10583</v>
      </c>
      <c r="M35" s="12"/>
      <c r="N35" s="12"/>
      <c r="O35" s="12"/>
      <c r="P35" s="12"/>
      <c r="Q35" s="12"/>
      <c r="R35" s="12"/>
      <c r="S35" s="12"/>
      <c r="T35" s="12"/>
      <c r="U35" s="12"/>
    </row>
    <row r="36" ht="14.25" customHeight="1">
      <c r="A36" s="7">
        <v>2024.0</v>
      </c>
      <c r="B36" s="15">
        <v>249743.0</v>
      </c>
      <c r="C36" s="15">
        <v>237570.0</v>
      </c>
      <c r="D36" s="15">
        <v>-71599.0</v>
      </c>
      <c r="E36" s="15">
        <v>-22856.0</v>
      </c>
      <c r="F36" s="16">
        <v>152300.0</v>
      </c>
      <c r="G36" s="16">
        <v>-68528.0</v>
      </c>
      <c r="H36" s="11">
        <v>262217.0</v>
      </c>
      <c r="I36" s="11">
        <v>-1440.0</v>
      </c>
      <c r="J36" s="11">
        <f t="shared" si="1"/>
        <v>-36770</v>
      </c>
      <c r="K36" s="12">
        <f t="shared" si="2"/>
        <v>263657</v>
      </c>
      <c r="L36" s="12">
        <f t="shared" si="3"/>
        <v>-35330</v>
      </c>
      <c r="M36" s="12"/>
      <c r="N36" s="12"/>
      <c r="O36" s="12"/>
      <c r="P36" s="12"/>
      <c r="Q36" s="12"/>
      <c r="R36" s="12"/>
      <c r="S36" s="12"/>
      <c r="T36" s="12"/>
      <c r="U36" s="12"/>
    </row>
    <row r="37" ht="14.25" customHeight="1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ht="14.25" customHeight="1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  <row r="39" ht="14.25" customHeight="1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</row>
    <row r="40" ht="14.25" customHeight="1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</row>
    <row r="41" ht="14.25" customHeight="1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</row>
    <row r="42" ht="14.25" customHeight="1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</row>
    <row r="43" ht="14.25" customHeight="1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</row>
    <row r="44" ht="14.25" customHeight="1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ht="14.25" customHeight="1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ht="14.25" customHeight="1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ht="14.25" customHeight="1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ht="14.25" customHeight="1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ht="14.25" customHeight="1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ht="14.25" customHeight="1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ht="14.25" customHeight="1"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ht="14.25" customHeight="1"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ht="14.25" customHeight="1"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ht="14.25" customHeight="1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ht="14.25" customHeight="1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ht="14.25" customHeight="1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ht="14.25" customHeight="1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ht="14.25" customHeight="1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ht="14.25" customHeight="1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ht="14.25" customHeight="1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ht="14.25" customHeight="1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ht="14.25" customHeight="1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ht="14.25" customHeight="1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ht="14.25" customHeight="1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ht="14.25" customHeight="1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ht="14.25" customHeight="1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ht="14.25" customHeight="1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ht="14.25" customHeight="1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ht="14.25" customHeight="1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ht="14.25" customHeight="1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ht="14.25" customHeight="1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ht="14.25" customHeight="1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ht="14.25" customHeight="1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ht="14.25" customHeight="1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ht="14.25" customHeight="1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ht="14.25" customHeight="1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ht="14.25" customHeight="1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ht="14.25" customHeight="1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ht="14.25" customHeight="1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ht="14.25" customHeight="1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ht="14.25" customHeight="1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ht="14.25" customHeight="1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ht="14.25" customHeight="1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ht="14.25" customHeight="1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ht="14.25" customHeight="1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ht="14.25" customHeight="1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ht="14.25" customHeight="1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ht="14.25" customHeight="1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ht="14.25" customHeight="1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ht="14.25" customHeight="1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ht="14.25" customHeight="1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ht="14.25" customHeight="1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ht="14.25" customHeight="1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ht="14.25" customHeight="1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ht="14.25" customHeight="1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ht="14.25" customHeight="1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ht="14.25" customHeight="1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ht="14.25" customHeight="1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ht="14.25" customHeight="1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ht="14.25" customHeight="1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ht="14.25" customHeight="1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ht="14.25" customHeight="1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ht="14.25" customHeight="1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ht="14.25" customHeight="1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ht="14.25" customHeight="1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ht="14.25" customHeight="1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ht="14.25" customHeight="1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ht="14.25" customHeight="1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ht="14.25" customHeight="1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ht="14.25" customHeight="1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ht="14.25" customHeight="1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ht="14.25" customHeight="1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ht="14.25" customHeight="1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ht="14.25" customHeight="1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ht="14.25" customHeight="1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ht="14.25" customHeight="1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ht="14.25" customHeight="1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ht="14.25" customHeight="1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ht="14.25" customHeight="1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ht="14.25" customHeight="1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ht="14.25" customHeight="1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ht="14.25" customHeight="1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ht="14.25" customHeight="1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ht="14.25" customHeight="1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ht="14.25" customHeight="1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ht="14.25" customHeight="1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ht="14.25" customHeight="1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ht="14.25" customHeight="1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ht="14.25" customHeight="1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ht="14.25" customHeight="1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ht="14.25" customHeight="1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ht="14.25" customHeight="1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ht="14.25" customHeight="1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ht="14.25" customHeight="1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ht="14.25" customHeight="1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ht="14.25" customHeight="1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ht="14.25" customHeight="1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ht="14.25" customHeight="1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ht="14.25" customHeight="1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ht="14.25" customHeight="1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ht="14.25" customHeight="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ht="14.25" customHeight="1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ht="14.25" customHeight="1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ht="14.25" customHeight="1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ht="14.25" customHeight="1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ht="14.25" customHeight="1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ht="14.25" customHeight="1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ht="14.25" customHeight="1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ht="14.25" customHeight="1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ht="14.25" customHeight="1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ht="14.25" customHeight="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ht="14.25" customHeigh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ht="14.25" customHeight="1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ht="14.25" customHeight="1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ht="14.25" customHeight="1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ht="14.25" customHeight="1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ht="14.25" customHeight="1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ht="14.25" customHeight="1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ht="14.25" customHeight="1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ht="14.25" customHeight="1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ht="14.25" customHeight="1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ht="14.25" customHeight="1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ht="14.25" customHeight="1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ht="14.25" customHeight="1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ht="14.25" customHeight="1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ht="14.25" customHeight="1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ht="14.25" customHeight="1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ht="14.25" customHeight="1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ht="14.25" customHeight="1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ht="14.25" customHeight="1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ht="14.25" customHeight="1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ht="14.25" customHeight="1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ht="14.25" customHeight="1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ht="14.25" customHeight="1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ht="14.25" customHeight="1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ht="14.25" customHeight="1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ht="14.25" customHeight="1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ht="14.25" customHeight="1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ht="14.25" customHeight="1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ht="14.25" customHeight="1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ht="14.25" customHeight="1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ht="14.25" customHeight="1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ht="14.25" customHeight="1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ht="14.25" customHeight="1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ht="14.25" customHeight="1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ht="14.25" customHeight="1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ht="14.25" customHeight="1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ht="14.25" customHeight="1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ht="14.25" customHeight="1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ht="14.25" customHeight="1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ht="14.25" customHeight="1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ht="14.25" customHeight="1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ht="14.25" customHeight="1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ht="14.25" customHeight="1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ht="14.25" customHeight="1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ht="14.25" customHeight="1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ht="14.25" customHeight="1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ht="14.25" customHeight="1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ht="14.25" customHeight="1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ht="14.25" customHeight="1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ht="14.25" customHeight="1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ht="14.25" customHeight="1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ht="14.25" customHeight="1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ht="14.25" customHeight="1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ht="14.25" customHeight="1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ht="14.25" customHeight="1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ht="14.25" customHeight="1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ht="14.25" customHeight="1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ht="14.25" customHeight="1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ht="14.25" customHeight="1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ht="14.25" customHeight="1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ht="14.25" customHeight="1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ht="14.25" customHeight="1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ht="14.25" customHeight="1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ht="14.25" customHeight="1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ht="14.25" customHeight="1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ht="14.25" customHeight="1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ht="14.25" customHeight="1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ht="14.25" customHeight="1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ht="14.25" customHeight="1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ht="14.25" customHeight="1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ht="14.25" customHeight="1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ht="14.25" customHeight="1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ht="14.25" customHeight="1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ht="14.25" customHeight="1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ht="14.25" customHeight="1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ht="14.25" customHeight="1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ht="14.25" customHeight="1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ht="14.25" customHeight="1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ht="14.25" customHeight="1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ht="14.25" customHeight="1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ht="14.25" customHeight="1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ht="14.25" customHeight="1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ht="14.25" customHeight="1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ht="14.25" customHeight="1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ht="14.25" customHeight="1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ht="14.25" customHeight="1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ht="14.25" customHeight="1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ht="14.25" customHeight="1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ht="14.25" customHeight="1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ht="14.25" customHeight="1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ht="14.25" customHeight="1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ht="14.25" customHeight="1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ht="14.25" customHeight="1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ht="14.25" customHeight="1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ht="14.25" customHeight="1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ht="14.25" customHeight="1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ht="14.25" customHeight="1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ht="14.25" customHeight="1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ht="14.25" customHeight="1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ht="14.25" customHeight="1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ht="14.25" customHeight="1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ht="14.25" customHeight="1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ht="14.25" customHeight="1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ht="14.25" customHeight="1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ht="14.25" customHeight="1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ht="14.25" customHeight="1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ht="14.25" customHeight="1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ht="14.25" customHeight="1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ht="14.25" customHeight="1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ht="14.25" customHeight="1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ht="14.25" customHeight="1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ht="14.25" customHeight="1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ht="14.25" customHeight="1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ht="14.25" customHeight="1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ht="14.25" customHeight="1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ht="14.25" customHeight="1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ht="14.25" customHeight="1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ht="14.25" customHeight="1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ht="14.25" customHeight="1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ht="14.25" customHeight="1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ht="14.25" customHeight="1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ht="14.25" customHeight="1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ht="14.25" customHeight="1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ht="14.25" customHeight="1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ht="14.25" customHeight="1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ht="14.25" customHeight="1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ht="14.25" customHeight="1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ht="14.25" customHeight="1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ht="14.25" customHeight="1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ht="14.25" customHeight="1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ht="14.25" customHeight="1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ht="14.25" customHeight="1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ht="14.25" customHeight="1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ht="14.25" customHeight="1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ht="14.25" customHeight="1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ht="14.25" customHeight="1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ht="14.25" customHeight="1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ht="14.25" customHeight="1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ht="14.25" customHeight="1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ht="14.25" customHeight="1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ht="14.25" customHeight="1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ht="14.25" customHeight="1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ht="14.25" customHeight="1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ht="14.25" customHeight="1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ht="14.25" customHeight="1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ht="14.25" customHeight="1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ht="14.25" customHeight="1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ht="14.25" customHeight="1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ht="14.25" customHeight="1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ht="14.25" customHeight="1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ht="14.25" customHeight="1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ht="14.25" customHeight="1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ht="14.25" customHeight="1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ht="14.25" customHeight="1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ht="14.25" customHeight="1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ht="14.25" customHeight="1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ht="14.25" customHeight="1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ht="14.25" customHeight="1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ht="14.25" customHeight="1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ht="14.25" customHeight="1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ht="14.25" customHeight="1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ht="14.25" customHeight="1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ht="14.25" customHeight="1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ht="14.25" customHeight="1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ht="14.25" customHeight="1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ht="14.25" customHeight="1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ht="14.25" customHeight="1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ht="14.25" customHeight="1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ht="14.25" customHeight="1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ht="14.25" customHeight="1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ht="14.25" customHeight="1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ht="14.25" customHeight="1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ht="14.25" customHeight="1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ht="14.25" customHeight="1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ht="14.25" customHeight="1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ht="14.25" customHeight="1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ht="14.25" customHeight="1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ht="14.25" customHeight="1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ht="14.25" customHeight="1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ht="14.25" customHeight="1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ht="14.25" customHeight="1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ht="14.25" customHeight="1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ht="14.25" customHeight="1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ht="14.25" customHeight="1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ht="14.25" customHeight="1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ht="14.25" customHeight="1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ht="14.25" customHeight="1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ht="14.25" customHeight="1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ht="14.25" customHeight="1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ht="14.25" customHeight="1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ht="14.25" customHeight="1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ht="14.25" customHeight="1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ht="14.25" customHeight="1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ht="14.25" customHeight="1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ht="14.25" customHeight="1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ht="14.25" customHeight="1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ht="14.25" customHeight="1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ht="14.25" customHeight="1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ht="14.25" customHeight="1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ht="14.25" customHeight="1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ht="14.25" customHeight="1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ht="14.25" customHeight="1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ht="14.25" customHeight="1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ht="14.25" customHeight="1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ht="14.25" customHeight="1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ht="14.25" customHeight="1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ht="14.25" customHeight="1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ht="14.25" customHeight="1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ht="14.25" customHeight="1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ht="14.25" customHeight="1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ht="14.25" customHeight="1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ht="14.25" customHeight="1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ht="14.25" customHeight="1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ht="14.25" customHeight="1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ht="14.25" customHeight="1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ht="14.25" customHeight="1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ht="14.25" customHeight="1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ht="14.25" customHeight="1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ht="14.25" customHeight="1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ht="14.25" customHeight="1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ht="14.25" customHeight="1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ht="14.25" customHeight="1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ht="14.25" customHeight="1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ht="14.25" customHeight="1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ht="14.25" customHeight="1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ht="14.25" customHeight="1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ht="14.25" customHeight="1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ht="14.25" customHeight="1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ht="14.25" customHeight="1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ht="14.25" customHeight="1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ht="14.25" customHeight="1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ht="14.25" customHeight="1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ht="14.25" customHeight="1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ht="14.25" customHeight="1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ht="14.25" customHeight="1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ht="14.25" customHeight="1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ht="14.25" customHeight="1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ht="14.25" customHeight="1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ht="14.25" customHeight="1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ht="14.25" customHeight="1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ht="14.25" customHeight="1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ht="14.25" customHeight="1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ht="14.25" customHeight="1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ht="14.25" customHeight="1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ht="14.25" customHeight="1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ht="14.25" customHeight="1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ht="14.25" customHeight="1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ht="14.25" customHeight="1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ht="14.25" customHeight="1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ht="14.25" customHeight="1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ht="14.25" customHeight="1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ht="14.25" customHeight="1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ht="14.25" customHeight="1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ht="14.25" customHeight="1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ht="14.25" customHeight="1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ht="14.25" customHeight="1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ht="14.25" customHeight="1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ht="14.25" customHeight="1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ht="14.25" customHeight="1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ht="14.25" customHeight="1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ht="14.25" customHeight="1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ht="14.25" customHeight="1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ht="14.25" customHeight="1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ht="14.25" customHeight="1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ht="14.25" customHeight="1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ht="14.25" customHeight="1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ht="14.25" customHeight="1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ht="14.25" customHeight="1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ht="14.25" customHeight="1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ht="14.25" customHeight="1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ht="14.25" customHeight="1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ht="14.25" customHeight="1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ht="14.25" customHeight="1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ht="14.25" customHeight="1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ht="14.25" customHeight="1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ht="14.25" customHeight="1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ht="14.25" customHeight="1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ht="14.25" customHeight="1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ht="14.25" customHeight="1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ht="14.25" customHeight="1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ht="14.25" customHeight="1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ht="14.25" customHeight="1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ht="14.25" customHeight="1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ht="14.25" customHeight="1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ht="14.25" customHeight="1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ht="14.25" customHeight="1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ht="14.25" customHeight="1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ht="14.25" customHeight="1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ht="14.25" customHeight="1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ht="14.25" customHeight="1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ht="14.25" customHeight="1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ht="14.25" customHeight="1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ht="14.25" customHeight="1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ht="14.25" customHeight="1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ht="14.25" customHeight="1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ht="14.25" customHeight="1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ht="14.25" customHeight="1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ht="14.25" customHeight="1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ht="14.25" customHeight="1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ht="14.25" customHeight="1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ht="14.25" customHeight="1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ht="14.25" customHeight="1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ht="14.25" customHeight="1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ht="14.25" customHeight="1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ht="14.25" customHeight="1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ht="14.25" customHeight="1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ht="14.25" customHeight="1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ht="14.25" customHeight="1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ht="14.25" customHeight="1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ht="14.25" customHeight="1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ht="14.25" customHeight="1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ht="14.25" customHeight="1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ht="14.25" customHeight="1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ht="14.25" customHeight="1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ht="14.25" customHeight="1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ht="14.25" customHeight="1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ht="14.25" customHeight="1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ht="14.25" customHeight="1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ht="14.25" customHeight="1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ht="14.25" customHeight="1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ht="14.25" customHeight="1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ht="14.25" customHeight="1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ht="14.25" customHeight="1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ht="14.25" customHeight="1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ht="14.25" customHeight="1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ht="14.25" customHeight="1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ht="14.25" customHeight="1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ht="14.25" customHeight="1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ht="14.25" customHeight="1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ht="14.25" customHeight="1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ht="14.25" customHeight="1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ht="14.25" customHeight="1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ht="14.25" customHeight="1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ht="14.25" customHeight="1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ht="14.25" customHeight="1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ht="14.25" customHeight="1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ht="14.25" customHeight="1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ht="14.25" customHeight="1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ht="14.25" customHeight="1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ht="14.25" customHeight="1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ht="14.25" customHeight="1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ht="14.25" customHeight="1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ht="14.25" customHeight="1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ht="14.25" customHeight="1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ht="14.25" customHeight="1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ht="14.25" customHeight="1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ht="14.25" customHeight="1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ht="14.25" customHeight="1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ht="14.25" customHeight="1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ht="14.25" customHeight="1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ht="14.25" customHeight="1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ht="14.25" customHeight="1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ht="14.25" customHeight="1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ht="14.25" customHeight="1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ht="14.25" customHeight="1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ht="14.25" customHeight="1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ht="14.25" customHeight="1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ht="14.25" customHeight="1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ht="14.25" customHeight="1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ht="14.25" customHeight="1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ht="14.25" customHeight="1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ht="14.25" customHeight="1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ht="14.25" customHeight="1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ht="14.25" customHeight="1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ht="14.25" customHeight="1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ht="14.25" customHeight="1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ht="14.25" customHeight="1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ht="14.25" customHeight="1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ht="14.25" customHeight="1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ht="14.25" customHeight="1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ht="14.25" customHeight="1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ht="14.25" customHeight="1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ht="14.25" customHeight="1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ht="14.25" customHeight="1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ht="14.25" customHeight="1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ht="14.25" customHeight="1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ht="14.25" customHeight="1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ht="14.25" customHeight="1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ht="14.25" customHeight="1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ht="14.25" customHeight="1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ht="14.25" customHeight="1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ht="14.25" customHeight="1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ht="14.25" customHeight="1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ht="14.25" customHeight="1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ht="14.25" customHeight="1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ht="14.25" customHeight="1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ht="14.25" customHeight="1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ht="14.25" customHeight="1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ht="14.25" customHeight="1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ht="14.25" customHeight="1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ht="14.25" customHeight="1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ht="14.25" customHeight="1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ht="14.25" customHeight="1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ht="14.25" customHeight="1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ht="14.25" customHeight="1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ht="14.25" customHeight="1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ht="14.25" customHeight="1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ht="14.25" customHeight="1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ht="14.25" customHeight="1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ht="14.25" customHeight="1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ht="14.25" customHeight="1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ht="14.25" customHeight="1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ht="14.25" customHeight="1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ht="14.25" customHeight="1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ht="14.25" customHeight="1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ht="14.25" customHeight="1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ht="14.25" customHeight="1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ht="14.25" customHeight="1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ht="14.25" customHeight="1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ht="14.25" customHeight="1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ht="14.25" customHeight="1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ht="14.25" customHeight="1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ht="14.25" customHeight="1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ht="14.25" customHeight="1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ht="14.25" customHeight="1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ht="14.25" customHeight="1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ht="14.25" customHeight="1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ht="14.25" customHeight="1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ht="14.25" customHeight="1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ht="14.25" customHeight="1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ht="14.25" customHeight="1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ht="14.25" customHeight="1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ht="14.25" customHeight="1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ht="14.25" customHeight="1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ht="14.25" customHeight="1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ht="14.25" customHeight="1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ht="14.25" customHeight="1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ht="14.25" customHeight="1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ht="14.25" customHeight="1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ht="14.25" customHeight="1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ht="14.25" customHeight="1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ht="14.25" customHeight="1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ht="14.25" customHeight="1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ht="14.25" customHeight="1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ht="14.25" customHeight="1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ht="14.25" customHeight="1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ht="14.25" customHeight="1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ht="14.25" customHeight="1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ht="14.25" customHeight="1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ht="14.25" customHeight="1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ht="14.25" customHeight="1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ht="14.25" customHeight="1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ht="14.25" customHeight="1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ht="14.25" customHeight="1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ht="14.25" customHeight="1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ht="14.25" customHeight="1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ht="14.25" customHeight="1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ht="14.25" customHeight="1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ht="14.25" customHeight="1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ht="14.25" customHeight="1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ht="14.25" customHeight="1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ht="14.25" customHeight="1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ht="14.25" customHeight="1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ht="14.25" customHeight="1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ht="14.25" customHeight="1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ht="14.25" customHeight="1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ht="14.25" customHeight="1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ht="14.25" customHeight="1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ht="14.25" customHeight="1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ht="14.25" customHeight="1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ht="14.25" customHeight="1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ht="14.25" customHeight="1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ht="14.25" customHeight="1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ht="14.25" customHeight="1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ht="14.25" customHeight="1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ht="14.25" customHeight="1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ht="14.25" customHeight="1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ht="14.25" customHeight="1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ht="14.25" customHeight="1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ht="14.25" customHeight="1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ht="14.25" customHeight="1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ht="14.25" customHeight="1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ht="14.25" customHeight="1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ht="14.25" customHeight="1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ht="14.25" customHeight="1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ht="14.25" customHeight="1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ht="14.25" customHeight="1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ht="14.25" customHeight="1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ht="14.25" customHeight="1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ht="14.25" customHeight="1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ht="14.25" customHeight="1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ht="14.25" customHeight="1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ht="14.25" customHeight="1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ht="14.25" customHeight="1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ht="14.25" customHeight="1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ht="14.25" customHeight="1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ht="14.25" customHeight="1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ht="14.25" customHeight="1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ht="14.25" customHeight="1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ht="14.25" customHeight="1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ht="14.25" customHeight="1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ht="14.25" customHeight="1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ht="14.25" customHeight="1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ht="14.25" customHeight="1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ht="14.25" customHeight="1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ht="14.25" customHeight="1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ht="14.25" customHeight="1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ht="14.25" customHeight="1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ht="14.25" customHeight="1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ht="14.25" customHeight="1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ht="14.25" customHeight="1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ht="14.25" customHeight="1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ht="14.25" customHeight="1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ht="14.25" customHeight="1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ht="14.25" customHeight="1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ht="14.25" customHeight="1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ht="14.25" customHeight="1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ht="14.25" customHeight="1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ht="14.25" customHeight="1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ht="14.25" customHeight="1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ht="14.25" customHeight="1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ht="14.25" customHeight="1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ht="14.25" customHeight="1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ht="14.25" customHeight="1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ht="14.25" customHeight="1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ht="14.25" customHeight="1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ht="14.25" customHeight="1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ht="14.25" customHeight="1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ht="14.25" customHeight="1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ht="14.25" customHeight="1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ht="14.25" customHeight="1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ht="14.25" customHeight="1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ht="14.25" customHeight="1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ht="14.25" customHeight="1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ht="14.25" customHeight="1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ht="14.25" customHeight="1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ht="14.25" customHeight="1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ht="14.25" customHeight="1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ht="14.25" customHeight="1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ht="14.25" customHeight="1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ht="14.25" customHeight="1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ht="14.25" customHeight="1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ht="14.25" customHeight="1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ht="14.25" customHeight="1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ht="14.25" customHeight="1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ht="14.25" customHeight="1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ht="14.25" customHeight="1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ht="14.25" customHeight="1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ht="14.25" customHeight="1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ht="14.25" customHeight="1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ht="14.25" customHeight="1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ht="14.25" customHeight="1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ht="14.25" customHeight="1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ht="14.25" customHeight="1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ht="14.25" customHeight="1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ht="14.25" customHeight="1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ht="14.25" customHeight="1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ht="14.25" customHeight="1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ht="14.25" customHeight="1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ht="14.25" customHeight="1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ht="14.25" customHeight="1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ht="14.25" customHeight="1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ht="14.25" customHeight="1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ht="14.25" customHeight="1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ht="14.25" customHeight="1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ht="14.25" customHeight="1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ht="14.25" customHeight="1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ht="14.25" customHeight="1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ht="14.25" customHeight="1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ht="14.25" customHeight="1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ht="14.25" customHeight="1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ht="14.25" customHeight="1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ht="14.25" customHeight="1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ht="14.25" customHeight="1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ht="14.25" customHeight="1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ht="14.25" customHeight="1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ht="14.25" customHeight="1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ht="14.25" customHeight="1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ht="14.25" customHeight="1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ht="14.25" customHeight="1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ht="14.25" customHeight="1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ht="14.25" customHeight="1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ht="14.25" customHeight="1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ht="14.25" customHeight="1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ht="14.25" customHeight="1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ht="14.25" customHeight="1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ht="14.25" customHeight="1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ht="14.25" customHeight="1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ht="14.25" customHeight="1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ht="14.25" customHeight="1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ht="14.25" customHeight="1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ht="14.25" customHeight="1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ht="14.25" customHeight="1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ht="14.25" customHeight="1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ht="14.25" customHeight="1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ht="14.25" customHeight="1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ht="14.25" customHeight="1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ht="14.25" customHeight="1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ht="14.25" customHeight="1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ht="14.25" customHeight="1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ht="14.25" customHeight="1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ht="14.25" customHeight="1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ht="14.25" customHeight="1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ht="14.25" customHeight="1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ht="14.25" customHeight="1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ht="14.25" customHeight="1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ht="14.25" customHeight="1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ht="14.25" customHeight="1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ht="14.25" customHeight="1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ht="14.25" customHeight="1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ht="14.25" customHeight="1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ht="14.25" customHeight="1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ht="14.25" customHeight="1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ht="14.25" customHeight="1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ht="14.25" customHeight="1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ht="14.25" customHeight="1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ht="14.25" customHeight="1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ht="14.25" customHeight="1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ht="14.25" customHeight="1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ht="14.25" customHeight="1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ht="14.25" customHeight="1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ht="14.25" customHeight="1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ht="14.25" customHeight="1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ht="14.25" customHeight="1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ht="14.25" customHeight="1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ht="14.25" customHeight="1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ht="14.25" customHeight="1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ht="14.25" customHeight="1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ht="14.25" customHeight="1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ht="14.25" customHeight="1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ht="14.25" customHeight="1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ht="14.25" customHeight="1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ht="14.25" customHeight="1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ht="14.25" customHeight="1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ht="14.25" customHeight="1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ht="14.25" customHeight="1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ht="14.25" customHeight="1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ht="14.25" customHeight="1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ht="14.25" customHeight="1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ht="14.25" customHeight="1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ht="14.25" customHeight="1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ht="14.25" customHeight="1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ht="14.25" customHeight="1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ht="14.25" customHeight="1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ht="14.25" customHeight="1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ht="14.25" customHeight="1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ht="14.25" customHeight="1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ht="14.25" customHeight="1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ht="14.25" customHeight="1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ht="14.25" customHeight="1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ht="14.25" customHeight="1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ht="14.25" customHeight="1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ht="14.25" customHeight="1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ht="14.25" customHeight="1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ht="14.25" customHeight="1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ht="14.25" customHeight="1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ht="14.25" customHeight="1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ht="14.25" customHeight="1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ht="14.25" customHeight="1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ht="14.25" customHeight="1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ht="14.25" customHeight="1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ht="14.25" customHeight="1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ht="14.25" customHeight="1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ht="14.25" customHeight="1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ht="14.25" customHeight="1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ht="14.25" customHeight="1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ht="14.25" customHeight="1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ht="14.25" customHeight="1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ht="14.25" customHeight="1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ht="14.25" customHeight="1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ht="14.25" customHeight="1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ht="14.25" customHeight="1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 ht="14.25" customHeight="1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 ht="14.25" customHeight="1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 ht="14.25" customHeight="1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 ht="14.25" customHeight="1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 ht="14.25" customHeight="1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 ht="14.25" customHeight="1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 ht="14.25" customHeight="1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 ht="14.25" customHeight="1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 ht="14.25" customHeight="1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ht="14.25" customHeight="1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 ht="14.25" customHeight="1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 ht="14.25" customHeight="1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 ht="14.25" customHeight="1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 ht="14.25" customHeight="1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 ht="14.25" customHeight="1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 ht="14.25" customHeight="1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 ht="14.25" customHeight="1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 ht="14.25" customHeight="1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 ht="14.25" customHeight="1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ht="14.25" customHeight="1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 ht="14.25" customHeight="1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 ht="14.25" customHeight="1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 ht="14.25" customHeight="1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 ht="14.25" customHeight="1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 ht="14.25" customHeight="1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 ht="14.25" customHeight="1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 ht="14.25" customHeight="1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 ht="14.25" customHeight="1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 ht="14.25" customHeight="1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 ht="14.25" customHeight="1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 ht="14.25" customHeight="1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 ht="14.25" customHeight="1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 ht="14.25" customHeight="1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 ht="14.25" customHeight="1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 ht="14.25" customHeight="1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 ht="14.25" customHeight="1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 ht="14.25" customHeight="1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 ht="14.25" customHeight="1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 ht="14.25" customHeight="1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 ht="14.25" customHeight="1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 ht="14.25" customHeight="1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 ht="14.25" customHeight="1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ht="14.25" customHeight="1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 ht="14.25" customHeight="1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 ht="14.25" customHeight="1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 ht="14.25" customHeight="1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 ht="14.25" customHeight="1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 ht="14.25" customHeight="1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 ht="14.25" customHeight="1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 ht="14.25" customHeight="1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 ht="14.25" customHeight="1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 ht="14.25" customHeight="1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 ht="14.25" customHeight="1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 ht="14.25" customHeight="1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 ht="14.25" customHeight="1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 ht="14.25" customHeight="1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 ht="14.25" customHeight="1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 ht="14.25" customHeight="1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 ht="14.25" customHeight="1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 ht="14.25" customHeight="1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 ht="14.25" customHeight="1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 ht="14.25" customHeight="1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 ht="14.25" customHeight="1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 ht="14.25" customHeight="1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 ht="14.25" customHeight="1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ht="14.25" customHeight="1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 ht="14.25" customHeight="1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 ht="14.25" customHeight="1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 ht="14.25" customHeight="1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 ht="14.25" customHeight="1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 ht="14.25" customHeight="1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 ht="14.25" customHeight="1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 ht="14.25" customHeight="1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 ht="14.25" customHeight="1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 ht="14.25" customHeight="1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 ht="14.25" customHeight="1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 ht="14.25" customHeight="1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 ht="14.25" customHeight="1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 ht="14.25" customHeight="1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 ht="14.25" customHeight="1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 ht="14.25" customHeight="1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 ht="14.25" customHeight="1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 ht="14.25" customHeight="1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 ht="14.25" customHeight="1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 ht="14.25" customHeight="1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 ht="14.25" customHeight="1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 ht="14.25" customHeight="1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 ht="14.25" customHeight="1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ht="14.25" customHeight="1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 ht="14.25" customHeight="1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 ht="14.25" customHeight="1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 ht="14.25" customHeight="1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 ht="14.25" customHeight="1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 ht="14.25" customHeight="1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 ht="14.25" customHeight="1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 ht="14.25" customHeight="1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 ht="14.25" customHeight="1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 ht="14.25" customHeight="1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 ht="14.25" customHeight="1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 ht="14.25" customHeight="1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 ht="14.25" customHeight="1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 ht="14.25" customHeight="1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 ht="14.25" customHeight="1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 ht="14.25" customHeight="1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 ht="14.25" customHeight="1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 ht="14.25" customHeight="1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 ht="14.25" customHeight="1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 ht="14.25" customHeight="1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 ht="14.25" customHeight="1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 ht="14.25" customHeight="1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 ht="14.25" customHeight="1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ht="14.25" customHeight="1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 ht="14.25" customHeight="1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 ht="14.25" customHeight="1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 ht="14.25" customHeight="1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 ht="14.25" customHeight="1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 ht="14.25" customHeight="1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 ht="14.25" customHeight="1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 ht="14.25" customHeight="1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 ht="14.25" customHeight="1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 ht="14.25" customHeight="1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 ht="14.25" customHeight="1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 ht="14.25" customHeight="1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 ht="14.25" customHeight="1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 ht="14.25" customHeight="1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 ht="14.25" customHeight="1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 ht="14.25" customHeight="1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 ht="14.25" customHeight="1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 ht="14.25" customHeight="1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 ht="14.25" customHeight="1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 ht="14.25" customHeight="1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 ht="14.25" customHeight="1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 ht="14.25" customHeight="1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ht="14.25" customHeight="1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 ht="14.25" customHeight="1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 ht="14.25" customHeight="1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 ht="14.25" customHeight="1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 ht="14.25" customHeight="1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 ht="14.25" customHeight="1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 ht="14.25" customHeight="1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 ht="14.25" customHeight="1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 ht="14.25" customHeight="1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 ht="14.25" customHeight="1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 ht="14.25" customHeight="1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 ht="14.25" customHeight="1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 ht="14.25" customHeight="1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 ht="14.25" customHeight="1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 ht="14.25" customHeight="1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 ht="14.25" customHeight="1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 ht="14.25" customHeight="1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 ht="14.25" customHeight="1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 ht="14.25" customHeight="1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 ht="14.25" customHeight="1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 ht="14.25" customHeight="1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 ht="14.25" customHeight="1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 ht="14.25" customHeight="1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 ht="14.25" customHeight="1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  <row r="971" ht="14.25" customHeight="1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</row>
    <row r="972" ht="14.25" customHeight="1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</row>
    <row r="973" ht="14.25" customHeight="1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</row>
    <row r="974" ht="14.25" customHeight="1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</row>
    <row r="975" ht="14.25" customHeight="1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</row>
    <row r="976" ht="14.25" customHeight="1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</row>
    <row r="977" ht="14.25" customHeight="1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</row>
    <row r="978" ht="14.25" customHeight="1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</row>
    <row r="979" ht="14.25" customHeight="1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</row>
    <row r="980" ht="14.25" customHeight="1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</row>
    <row r="981" ht="14.25" customHeight="1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</row>
    <row r="982" ht="14.25" customHeight="1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</row>
    <row r="983" ht="14.25" customHeight="1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</row>
    <row r="984" ht="14.25" customHeight="1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</row>
    <row r="985" ht="14.25" customHeight="1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</row>
    <row r="986" ht="14.25" customHeight="1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</row>
    <row r="987" ht="14.25" customHeight="1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</row>
    <row r="988" ht="14.25" customHeight="1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</row>
    <row r="989" ht="14.25" customHeight="1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</row>
    <row r="990" ht="14.25" customHeight="1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</row>
    <row r="991" ht="14.25" customHeight="1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</row>
    <row r="992" ht="14.25" customHeight="1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</row>
    <row r="993" ht="14.25" customHeight="1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</row>
    <row r="994" ht="14.25" customHeight="1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</row>
    <row r="995" ht="14.25" customHeight="1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</row>
    <row r="996" ht="14.25" customHeight="1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</row>
    <row r="997" ht="14.25" customHeight="1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</row>
    <row r="998" ht="14.25" customHeight="1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</row>
    <row r="999" ht="14.25" customHeight="1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</row>
    <row r="1000" ht="14.25" customHeight="1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</row>
    <row r="1001" ht="14.25" customHeight="1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</row>
  </sheetData>
  <mergeCells count="1">
    <mergeCell ref="C2:D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63"/>
    <col customWidth="1" min="3" max="3" width="12.13"/>
    <col customWidth="1" min="4" max="6" width="13.75"/>
    <col customWidth="1" min="7" max="16" width="7.63"/>
    <col customWidth="1" min="17" max="17" width="9.63"/>
    <col customWidth="1" min="18" max="18" width="8.63"/>
    <col customWidth="1" min="19" max="19" width="9.0"/>
    <col customWidth="1" min="20" max="20" width="9.75"/>
    <col customWidth="1" min="21" max="28" width="7.63"/>
  </cols>
  <sheetData>
    <row r="1">
      <c r="A1" s="4" t="s">
        <v>11</v>
      </c>
      <c r="B1" s="4" t="s">
        <v>100</v>
      </c>
      <c r="C1" s="4" t="s">
        <v>101</v>
      </c>
      <c r="D1" s="17" t="s">
        <v>102</v>
      </c>
      <c r="E1" s="17" t="s">
        <v>103</v>
      </c>
      <c r="F1" s="4"/>
      <c r="G1" s="17" t="s">
        <v>104</v>
      </c>
      <c r="H1" s="17" t="s">
        <v>105</v>
      </c>
      <c r="I1" s="17" t="s">
        <v>106</v>
      </c>
      <c r="J1" s="17" t="s">
        <v>107</v>
      </c>
      <c r="K1" s="17" t="s">
        <v>108</v>
      </c>
      <c r="L1" s="17" t="s">
        <v>109</v>
      </c>
      <c r="M1" s="17" t="s">
        <v>110</v>
      </c>
      <c r="N1" s="17" t="s">
        <v>111</v>
      </c>
      <c r="O1" s="17" t="s">
        <v>112</v>
      </c>
      <c r="P1" s="17" t="s">
        <v>113</v>
      </c>
      <c r="Q1" s="18"/>
      <c r="R1" s="18"/>
      <c r="S1" s="19"/>
    </row>
    <row r="2">
      <c r="A2" s="5"/>
      <c r="B2" s="6" t="s">
        <v>114</v>
      </c>
      <c r="C2" s="6" t="s">
        <v>115</v>
      </c>
      <c r="D2" s="20" t="s">
        <v>116</v>
      </c>
      <c r="E2" s="20" t="s">
        <v>117</v>
      </c>
      <c r="F2" s="20" t="s">
        <v>118</v>
      </c>
      <c r="G2" s="21" t="s">
        <v>119</v>
      </c>
      <c r="H2" s="22" t="s">
        <v>120</v>
      </c>
      <c r="I2" s="23" t="s">
        <v>121</v>
      </c>
      <c r="J2" s="23" t="s">
        <v>122</v>
      </c>
      <c r="K2" s="23" t="s">
        <v>123</v>
      </c>
      <c r="L2" s="22" t="s">
        <v>124</v>
      </c>
      <c r="M2" s="21" t="s">
        <v>125</v>
      </c>
      <c r="N2" s="22" t="s">
        <v>126</v>
      </c>
      <c r="O2" s="22" t="s">
        <v>127</v>
      </c>
      <c r="P2" s="21" t="s">
        <v>128</v>
      </c>
      <c r="Q2" s="21" t="s">
        <v>129</v>
      </c>
      <c r="R2" s="24" t="s">
        <v>130</v>
      </c>
      <c r="S2" s="24" t="s">
        <v>75</v>
      </c>
      <c r="T2" s="24" t="s">
        <v>131</v>
      </c>
    </row>
    <row r="3">
      <c r="A3" s="2" t="s">
        <v>31</v>
      </c>
      <c r="B3" s="2">
        <v>69497.6</v>
      </c>
      <c r="C3" s="2">
        <f>'ВВП (расходы)'!D3</f>
        <v>285553.8</v>
      </c>
      <c r="D3" s="25">
        <v>340620.8</v>
      </c>
      <c r="E3" s="25">
        <v>37612.5</v>
      </c>
      <c r="F3" s="2">
        <f t="shared" ref="F3:F32" si="1">D3+E3</f>
        <v>378233.3</v>
      </c>
      <c r="G3" s="2">
        <v>205470.0</v>
      </c>
      <c r="H3" s="2">
        <v>193534.0</v>
      </c>
      <c r="I3" s="2">
        <v>125482.1</v>
      </c>
      <c r="J3" s="2">
        <v>11359.7</v>
      </c>
      <c r="K3" s="2">
        <v>56692.2</v>
      </c>
      <c r="L3" s="2">
        <v>11935.9</v>
      </c>
      <c r="M3" s="2">
        <v>236110.9</v>
      </c>
      <c r="N3" s="2">
        <v>221329.5</v>
      </c>
      <c r="O3" s="2">
        <v>14781.3</v>
      </c>
      <c r="P3" s="2">
        <v>1889.3</v>
      </c>
      <c r="Q3" s="2">
        <f t="shared" ref="Q3:Q32" si="2">G3+M3+P3</f>
        <v>443470.2</v>
      </c>
      <c r="R3" s="2">
        <f t="shared" ref="R3:R32" si="3">Q3-F3</f>
        <v>65236.9</v>
      </c>
      <c r="S3" s="2">
        <f t="shared" ref="S3:S32" si="4">R3-C3-B3</f>
        <v>-289814.5</v>
      </c>
      <c r="T3" s="2">
        <f>S3/'ВВП (расходы)'!B3*100</f>
        <v>-19.09270825</v>
      </c>
    </row>
    <row r="4">
      <c r="A4" s="2" t="s">
        <v>32</v>
      </c>
      <c r="B4" s="2">
        <v>68387.5</v>
      </c>
      <c r="C4" s="2">
        <f>'ВВП (расходы)'!D4</f>
        <v>320475.5</v>
      </c>
      <c r="D4" s="25">
        <v>354007.4</v>
      </c>
      <c r="E4" s="25">
        <v>36940.3</v>
      </c>
      <c r="F4" s="2">
        <f t="shared" si="1"/>
        <v>390947.7</v>
      </c>
      <c r="G4" s="2">
        <v>202402.3</v>
      </c>
      <c r="H4" s="2">
        <v>190272.2</v>
      </c>
      <c r="I4" s="2">
        <v>124428.9</v>
      </c>
      <c r="J4" s="2">
        <v>12070.7</v>
      </c>
      <c r="K4" s="2">
        <v>53772.7</v>
      </c>
      <c r="L4" s="2">
        <v>12130.1</v>
      </c>
      <c r="M4" s="2">
        <v>232897.0</v>
      </c>
      <c r="N4" s="2">
        <v>217730.1</v>
      </c>
      <c r="O4" s="2">
        <v>15167.0</v>
      </c>
      <c r="P4" s="2">
        <v>2099.7</v>
      </c>
      <c r="Q4" s="2">
        <f t="shared" si="2"/>
        <v>437399</v>
      </c>
      <c r="R4" s="2">
        <f t="shared" si="3"/>
        <v>46451.3</v>
      </c>
      <c r="S4" s="2">
        <f t="shared" si="4"/>
        <v>-342411.7</v>
      </c>
      <c r="T4" s="2">
        <f>S4/'ВВП (расходы)'!B4*100</f>
        <v>-20.68556407</v>
      </c>
    </row>
    <row r="5">
      <c r="A5" s="2" t="s">
        <v>33</v>
      </c>
      <c r="B5" s="2">
        <v>66510.4</v>
      </c>
      <c r="C5" s="2">
        <f>'ВВП (расходы)'!D5</f>
        <v>346620</v>
      </c>
      <c r="D5" s="25">
        <v>351986.8</v>
      </c>
      <c r="E5" s="25">
        <v>37135.7</v>
      </c>
      <c r="F5" s="2">
        <f t="shared" si="1"/>
        <v>389122.5</v>
      </c>
      <c r="G5" s="2">
        <v>199755.1</v>
      </c>
      <c r="H5" s="2">
        <v>187403.1</v>
      </c>
      <c r="I5" s="2">
        <v>122488.7</v>
      </c>
      <c r="J5" s="2">
        <v>12707.5</v>
      </c>
      <c r="K5" s="2">
        <v>52206.9</v>
      </c>
      <c r="L5" s="2">
        <v>12352.0</v>
      </c>
      <c r="M5" s="2">
        <v>226400.6</v>
      </c>
      <c r="N5" s="2">
        <v>214331.4</v>
      </c>
      <c r="O5" s="2">
        <v>12069.3</v>
      </c>
      <c r="P5" s="2">
        <v>2061.0</v>
      </c>
      <c r="Q5" s="2">
        <f t="shared" si="2"/>
        <v>428216.7</v>
      </c>
      <c r="R5" s="2">
        <f t="shared" si="3"/>
        <v>39094.2</v>
      </c>
      <c r="S5" s="2">
        <f t="shared" si="4"/>
        <v>-374036.2</v>
      </c>
      <c r="T5" s="2">
        <f>S5/'ВВП (расходы)'!B5*100</f>
        <v>-21.0726258</v>
      </c>
    </row>
    <row r="6">
      <c r="A6" s="2" t="s">
        <v>34</v>
      </c>
      <c r="B6" s="2">
        <v>67307.4</v>
      </c>
      <c r="C6" s="2">
        <f>'ВВП (расходы)'!D6</f>
        <v>363721.8</v>
      </c>
      <c r="D6" s="25">
        <v>355060.9</v>
      </c>
      <c r="E6" s="25">
        <v>37733.5</v>
      </c>
      <c r="F6" s="2">
        <f t="shared" si="1"/>
        <v>392794.4</v>
      </c>
      <c r="G6" s="2">
        <v>206708.6</v>
      </c>
      <c r="H6" s="2">
        <v>193901.7</v>
      </c>
      <c r="I6" s="2">
        <v>128333.5</v>
      </c>
      <c r="J6" s="2">
        <v>12158.3</v>
      </c>
      <c r="K6" s="2">
        <v>53409.9</v>
      </c>
      <c r="L6" s="2">
        <v>12806.9</v>
      </c>
      <c r="M6" s="2">
        <v>238417.0</v>
      </c>
      <c r="N6" s="2">
        <v>226304.4</v>
      </c>
      <c r="O6" s="2">
        <v>12112.6</v>
      </c>
      <c r="P6" s="2">
        <v>2443.4</v>
      </c>
      <c r="Q6" s="2">
        <f t="shared" si="2"/>
        <v>447569</v>
      </c>
      <c r="R6" s="2">
        <f t="shared" si="3"/>
        <v>54774.6</v>
      </c>
      <c r="S6" s="2">
        <f t="shared" si="4"/>
        <v>-376254.6</v>
      </c>
      <c r="T6" s="2">
        <f>S6/'ВВП (расходы)'!B6*100</f>
        <v>-20.14299235</v>
      </c>
    </row>
    <row r="7">
      <c r="A7" s="2" t="s">
        <v>35</v>
      </c>
      <c r="B7" s="2">
        <v>64274.0</v>
      </c>
      <c r="C7" s="2">
        <f>'ВВП (расходы)'!D7</f>
        <v>389434.4</v>
      </c>
      <c r="D7" s="25">
        <v>370411.0</v>
      </c>
      <c r="E7" s="25">
        <v>37823.0</v>
      </c>
      <c r="F7" s="2">
        <f t="shared" si="1"/>
        <v>408234</v>
      </c>
      <c r="G7" s="2">
        <v>223572.0</v>
      </c>
      <c r="H7" s="2">
        <v>209962.0</v>
      </c>
      <c r="I7" s="2">
        <v>137707.0</v>
      </c>
      <c r="J7" s="2">
        <v>12399.0</v>
      </c>
      <c r="K7" s="2">
        <v>59856.0</v>
      </c>
      <c r="L7" s="2">
        <v>13610.0</v>
      </c>
      <c r="M7" s="2">
        <v>255926.0</v>
      </c>
      <c r="N7" s="2">
        <v>244260.0</v>
      </c>
      <c r="O7" s="2">
        <v>11666.0</v>
      </c>
      <c r="P7" s="2">
        <v>3060.0</v>
      </c>
      <c r="Q7" s="2">
        <f t="shared" si="2"/>
        <v>482558</v>
      </c>
      <c r="R7" s="2">
        <f t="shared" si="3"/>
        <v>74324</v>
      </c>
      <c r="S7" s="2">
        <f t="shared" si="4"/>
        <v>-379384.4</v>
      </c>
      <c r="T7" s="2">
        <f>S7/'ВВП (расходы)'!B7*100</f>
        <v>-19.13032508</v>
      </c>
    </row>
    <row r="8">
      <c r="A8" s="2" t="s">
        <v>36</v>
      </c>
      <c r="B8" s="2">
        <v>67540.0</v>
      </c>
      <c r="C8" s="2">
        <f>'ВВП (расходы)'!D8</f>
        <v>392800.5</v>
      </c>
      <c r="D8" s="25">
        <v>369133.0</v>
      </c>
      <c r="E8" s="25">
        <v>41680.0</v>
      </c>
      <c r="F8" s="2">
        <f t="shared" si="1"/>
        <v>410813</v>
      </c>
      <c r="G8" s="2">
        <v>229381.0</v>
      </c>
      <c r="H8" s="2">
        <v>215601.0</v>
      </c>
      <c r="I8" s="2">
        <v>140003.0</v>
      </c>
      <c r="J8" s="2">
        <v>14210.0</v>
      </c>
      <c r="K8" s="2">
        <v>61388.0</v>
      </c>
      <c r="L8" s="2">
        <v>13780.0</v>
      </c>
      <c r="M8" s="2">
        <v>268002.0</v>
      </c>
      <c r="N8" s="2">
        <v>256331.0</v>
      </c>
      <c r="O8" s="2">
        <v>11671.0</v>
      </c>
      <c r="P8" s="2">
        <v>2990.0</v>
      </c>
      <c r="Q8" s="2">
        <f t="shared" si="2"/>
        <v>500373</v>
      </c>
      <c r="R8" s="2">
        <f t="shared" si="3"/>
        <v>89560</v>
      </c>
      <c r="S8" s="2">
        <f t="shared" si="4"/>
        <v>-370780.5</v>
      </c>
      <c r="T8" s="2">
        <f>S8/'ВВП (расходы)'!B8*100</f>
        <v>-18.77074706</v>
      </c>
    </row>
    <row r="9">
      <c r="A9" s="2" t="s">
        <v>37</v>
      </c>
      <c r="B9" s="2">
        <v>66201.0</v>
      </c>
      <c r="C9" s="2">
        <f>'ВВП (расходы)'!D9</f>
        <v>382919.8</v>
      </c>
      <c r="D9" s="25">
        <v>382938.0</v>
      </c>
      <c r="E9" s="25">
        <v>39551.0</v>
      </c>
      <c r="F9" s="2">
        <f t="shared" si="1"/>
        <v>422489</v>
      </c>
      <c r="G9" s="2">
        <v>233418.0</v>
      </c>
      <c r="H9" s="2">
        <v>219497.0</v>
      </c>
      <c r="I9" s="2">
        <v>139088.0</v>
      </c>
      <c r="J9" s="2">
        <v>16052.0</v>
      </c>
      <c r="K9" s="2">
        <v>64357.0</v>
      </c>
      <c r="L9" s="2">
        <v>13921.0</v>
      </c>
      <c r="M9" s="2">
        <v>242701.0</v>
      </c>
      <c r="N9" s="2">
        <v>229553.0</v>
      </c>
      <c r="O9" s="2">
        <v>13148.0</v>
      </c>
      <c r="P9" s="2">
        <v>3070.0</v>
      </c>
      <c r="Q9" s="2">
        <f t="shared" si="2"/>
        <v>479189</v>
      </c>
      <c r="R9" s="2">
        <f t="shared" si="3"/>
        <v>56700</v>
      </c>
      <c r="S9" s="2">
        <f t="shared" si="4"/>
        <v>-392420.8</v>
      </c>
      <c r="T9" s="2">
        <f>S9/'ВВП (расходы)'!B9*100</f>
        <v>-20.0355597</v>
      </c>
    </row>
    <row r="10">
      <c r="A10" s="2" t="s">
        <v>38</v>
      </c>
      <c r="B10" s="2">
        <v>66135.0</v>
      </c>
      <c r="C10" s="2">
        <f>'ВВП (расходы)'!D10</f>
        <v>387074.2</v>
      </c>
      <c r="D10" s="25">
        <v>397992.0</v>
      </c>
      <c r="E10" s="25">
        <v>38252.0</v>
      </c>
      <c r="F10" s="2">
        <f t="shared" si="1"/>
        <v>436244</v>
      </c>
      <c r="G10" s="2">
        <v>235394.0</v>
      </c>
      <c r="H10" s="2">
        <v>221296.0</v>
      </c>
      <c r="I10" s="2">
        <v>136779.0</v>
      </c>
      <c r="J10" s="2">
        <v>14592.0</v>
      </c>
      <c r="K10" s="2">
        <v>69925.0</v>
      </c>
      <c r="L10" s="2">
        <v>14098.0</v>
      </c>
      <c r="M10" s="2">
        <v>237263.0</v>
      </c>
      <c r="N10" s="2">
        <v>224662.0</v>
      </c>
      <c r="O10" s="2">
        <v>12601.0</v>
      </c>
      <c r="P10" s="2">
        <v>3030.0</v>
      </c>
      <c r="Q10" s="2">
        <f t="shared" si="2"/>
        <v>475687</v>
      </c>
      <c r="R10" s="2">
        <f t="shared" si="3"/>
        <v>39443</v>
      </c>
      <c r="S10" s="2">
        <f t="shared" si="4"/>
        <v>-413766.2</v>
      </c>
      <c r="T10" s="2">
        <f>S10/'ВВП (расходы)'!B10*100</f>
        <v>-20.59919172</v>
      </c>
    </row>
    <row r="11">
      <c r="A11" s="2" t="s">
        <v>39</v>
      </c>
      <c r="B11" s="2">
        <v>65075.0</v>
      </c>
      <c r="C11" s="2">
        <f>'ВВП (расходы)'!D11</f>
        <v>407595</v>
      </c>
      <c r="D11" s="25">
        <v>408988.0</v>
      </c>
      <c r="E11" s="25">
        <v>40927.0</v>
      </c>
      <c r="F11" s="2">
        <f t="shared" si="1"/>
        <v>449915</v>
      </c>
      <c r="G11" s="2">
        <v>240978.0</v>
      </c>
      <c r="H11" s="2">
        <v>226556.0</v>
      </c>
      <c r="I11" s="2">
        <v>137196.0</v>
      </c>
      <c r="J11" s="2">
        <v>15019.0</v>
      </c>
      <c r="K11" s="2">
        <v>74341.0</v>
      </c>
      <c r="L11" s="2">
        <v>14422.0</v>
      </c>
      <c r="M11" s="2">
        <v>237799.0</v>
      </c>
      <c r="N11" s="2">
        <v>225367.0</v>
      </c>
      <c r="O11" s="2">
        <v>12432.0</v>
      </c>
      <c r="P11" s="2">
        <v>3370.0</v>
      </c>
      <c r="Q11" s="2">
        <f t="shared" si="2"/>
        <v>482147</v>
      </c>
      <c r="R11" s="2">
        <f t="shared" si="3"/>
        <v>32232</v>
      </c>
      <c r="S11" s="2">
        <f t="shared" si="4"/>
        <v>-440438</v>
      </c>
      <c r="T11" s="2">
        <f>S11/'ВВП (расходы)'!B11*100</f>
        <v>-21.20303865</v>
      </c>
    </row>
    <row r="12">
      <c r="A12" s="2" t="s">
        <v>40</v>
      </c>
      <c r="B12" s="2">
        <v>63816.0</v>
      </c>
      <c r="C12" s="2">
        <f>'ВВП (расходы)'!D12</f>
        <v>413966</v>
      </c>
      <c r="D12" s="25">
        <v>411118.0</v>
      </c>
      <c r="E12" s="25">
        <v>39520.0</v>
      </c>
      <c r="F12" s="2">
        <f t="shared" si="1"/>
        <v>450638</v>
      </c>
      <c r="G12" s="2">
        <v>239835.0</v>
      </c>
      <c r="H12" s="2">
        <v>225239.0</v>
      </c>
      <c r="I12" s="2">
        <v>137444.0</v>
      </c>
      <c r="J12" s="2">
        <v>14242.0</v>
      </c>
      <c r="K12" s="2">
        <v>73553.0</v>
      </c>
      <c r="L12" s="2">
        <v>14596.0</v>
      </c>
      <c r="M12" s="2">
        <v>238163.0</v>
      </c>
      <c r="N12" s="2">
        <v>225512.0</v>
      </c>
      <c r="O12" s="2">
        <v>12651.0</v>
      </c>
      <c r="P12" s="2">
        <v>4290.0</v>
      </c>
      <c r="Q12" s="2">
        <f t="shared" si="2"/>
        <v>482288</v>
      </c>
      <c r="R12" s="2">
        <f t="shared" si="3"/>
        <v>31650</v>
      </c>
      <c r="S12" s="2">
        <f t="shared" si="4"/>
        <v>-446132</v>
      </c>
      <c r="T12" s="2">
        <f>S12/'ВВП (расходы)'!B12*100</f>
        <v>-20.94850821</v>
      </c>
    </row>
    <row r="13">
      <c r="A13" s="2" t="s">
        <v>41</v>
      </c>
      <c r="B13" s="2">
        <v>63494.0</v>
      </c>
      <c r="C13" s="2">
        <f>'ВВП (расходы)'!D13</f>
        <v>422652</v>
      </c>
      <c r="D13" s="25">
        <v>412615.0</v>
      </c>
      <c r="E13" s="25">
        <v>41983.0</v>
      </c>
      <c r="F13" s="2">
        <f t="shared" si="1"/>
        <v>454598</v>
      </c>
      <c r="G13" s="2">
        <v>242581.0</v>
      </c>
      <c r="H13" s="2">
        <v>227411.0</v>
      </c>
      <c r="I13" s="2">
        <v>139801.0</v>
      </c>
      <c r="J13" s="2">
        <v>13619.0</v>
      </c>
      <c r="K13" s="2">
        <v>73991.0</v>
      </c>
      <c r="L13" s="2">
        <v>15170.0</v>
      </c>
      <c r="M13" s="2">
        <v>248531.0</v>
      </c>
      <c r="N13" s="2">
        <v>234879.0</v>
      </c>
      <c r="O13" s="2">
        <v>13652.0</v>
      </c>
      <c r="P13" s="2">
        <v>4100.0</v>
      </c>
      <c r="Q13" s="2">
        <f t="shared" si="2"/>
        <v>495212</v>
      </c>
      <c r="R13" s="2">
        <f t="shared" si="3"/>
        <v>40614</v>
      </c>
      <c r="S13" s="2">
        <f t="shared" si="4"/>
        <v>-445532</v>
      </c>
      <c r="T13" s="2">
        <f>S13/'ВВП (расходы)'!B13*100</f>
        <v>-20.29268559</v>
      </c>
    </row>
    <row r="14">
      <c r="A14" s="2" t="s">
        <v>42</v>
      </c>
      <c r="B14" s="2">
        <v>65218.0</v>
      </c>
      <c r="C14" s="2">
        <f>'ВВП (расходы)'!D14</f>
        <v>434366</v>
      </c>
      <c r="D14" s="25">
        <v>409260.0</v>
      </c>
      <c r="E14" s="25">
        <v>42321.0</v>
      </c>
      <c r="F14" s="2">
        <f t="shared" si="1"/>
        <v>451581</v>
      </c>
      <c r="G14" s="2">
        <v>252846.0</v>
      </c>
      <c r="H14" s="2">
        <v>237532.0</v>
      </c>
      <c r="I14" s="2">
        <v>147135.0</v>
      </c>
      <c r="J14" s="2">
        <v>13402.0</v>
      </c>
      <c r="K14" s="2">
        <v>76995.0</v>
      </c>
      <c r="L14" s="2">
        <v>15314.0</v>
      </c>
      <c r="M14" s="2">
        <v>276839.0</v>
      </c>
      <c r="N14" s="2">
        <v>262906.0</v>
      </c>
      <c r="O14" s="2">
        <v>13933.0</v>
      </c>
      <c r="P14" s="2">
        <v>3760.0</v>
      </c>
      <c r="Q14" s="2">
        <f t="shared" si="2"/>
        <v>533445</v>
      </c>
      <c r="R14" s="2">
        <f t="shared" si="3"/>
        <v>81864</v>
      </c>
      <c r="S14" s="2">
        <f t="shared" si="4"/>
        <v>-417720</v>
      </c>
      <c r="T14" s="2">
        <f>S14/'ВВП (расходы)'!B14*100</f>
        <v>-18.78778066</v>
      </c>
    </row>
    <row r="15">
      <c r="A15" s="2" t="s">
        <v>43</v>
      </c>
      <c r="B15" s="2">
        <v>67686.0</v>
      </c>
      <c r="C15" s="2">
        <f>'ВВП (расходы)'!D15</f>
        <v>438568</v>
      </c>
      <c r="D15" s="25">
        <v>401833.0</v>
      </c>
      <c r="E15" s="25">
        <v>43646.0</v>
      </c>
      <c r="F15" s="2">
        <f t="shared" si="1"/>
        <v>445479</v>
      </c>
      <c r="G15" s="2">
        <v>278208.0</v>
      </c>
      <c r="H15" s="2">
        <v>262623.0</v>
      </c>
      <c r="I15" s="2">
        <v>170066.0</v>
      </c>
      <c r="J15" s="2">
        <v>12650.0</v>
      </c>
      <c r="K15" s="2">
        <v>79907.0</v>
      </c>
      <c r="L15" s="2">
        <v>15585.0</v>
      </c>
      <c r="M15" s="2">
        <v>300062.0</v>
      </c>
      <c r="N15" s="2">
        <v>286149.0</v>
      </c>
      <c r="O15" s="2">
        <v>13913.0</v>
      </c>
      <c r="P15" s="2">
        <v>4200.0</v>
      </c>
      <c r="Q15" s="2">
        <f t="shared" si="2"/>
        <v>582470</v>
      </c>
      <c r="R15" s="2">
        <f t="shared" si="3"/>
        <v>136991</v>
      </c>
      <c r="S15" s="2">
        <f t="shared" si="4"/>
        <v>-369263</v>
      </c>
      <c r="T15" s="2">
        <f>S15/'ВВП (расходы)'!B15*100</f>
        <v>-16.47899643</v>
      </c>
    </row>
    <row r="16">
      <c r="A16" s="2" t="s">
        <v>44</v>
      </c>
      <c r="B16" s="2">
        <v>69096.0</v>
      </c>
      <c r="C16" s="2">
        <f>'ВВП (расходы)'!D16</f>
        <v>436826</v>
      </c>
      <c r="D16" s="25">
        <v>405166.0</v>
      </c>
      <c r="E16" s="25">
        <v>47971.0</v>
      </c>
      <c r="F16" s="2">
        <f t="shared" si="1"/>
        <v>453137</v>
      </c>
      <c r="G16" s="2">
        <v>283315.0</v>
      </c>
      <c r="H16" s="2">
        <v>267890.0</v>
      </c>
      <c r="I16" s="2">
        <v>175867.0</v>
      </c>
      <c r="J16" s="2">
        <v>12503.0</v>
      </c>
      <c r="K16" s="2">
        <v>79520.0</v>
      </c>
      <c r="L16" s="2">
        <v>15425.0</v>
      </c>
      <c r="M16" s="2">
        <v>314031.0</v>
      </c>
      <c r="N16" s="2">
        <v>300226.0</v>
      </c>
      <c r="O16" s="2">
        <v>13805.0</v>
      </c>
      <c r="P16" s="2">
        <v>4770.0</v>
      </c>
      <c r="Q16" s="2">
        <f t="shared" si="2"/>
        <v>602116</v>
      </c>
      <c r="R16" s="2">
        <f t="shared" si="3"/>
        <v>148979</v>
      </c>
      <c r="S16" s="2">
        <f t="shared" si="4"/>
        <v>-356943</v>
      </c>
      <c r="T16" s="2">
        <f>S16/'ВВП (расходы)'!B16*100</f>
        <v>-15.56636605</v>
      </c>
    </row>
    <row r="17">
      <c r="A17" s="2" t="s">
        <v>45</v>
      </c>
      <c r="B17" s="2">
        <v>65189.0</v>
      </c>
      <c r="C17" s="2">
        <f>'ВВП (расходы)'!D17</f>
        <v>440326</v>
      </c>
      <c r="D17" s="25">
        <v>427204.0</v>
      </c>
      <c r="E17" s="25">
        <v>47472.0</v>
      </c>
      <c r="F17" s="2">
        <f t="shared" si="1"/>
        <v>474676</v>
      </c>
      <c r="G17" s="2">
        <v>286922.0</v>
      </c>
      <c r="H17" s="2">
        <v>270624.0</v>
      </c>
      <c r="I17" s="2">
        <v>177697.0</v>
      </c>
      <c r="J17" s="2">
        <v>13503.0</v>
      </c>
      <c r="K17" s="2">
        <v>79424.0</v>
      </c>
      <c r="L17" s="2">
        <v>16298.0</v>
      </c>
      <c r="M17" s="2">
        <v>281351.0</v>
      </c>
      <c r="N17" s="2">
        <v>267770.0</v>
      </c>
      <c r="O17" s="2">
        <v>13581.0</v>
      </c>
      <c r="P17" s="2">
        <v>4540.0</v>
      </c>
      <c r="Q17" s="2">
        <f t="shared" si="2"/>
        <v>572813</v>
      </c>
      <c r="R17" s="2">
        <f t="shared" si="3"/>
        <v>98137</v>
      </c>
      <c r="S17" s="2">
        <f t="shared" si="4"/>
        <v>-407378</v>
      </c>
      <c r="T17" s="2">
        <f>S17/'ВВП (расходы)'!B17*100</f>
        <v>-17.51628535</v>
      </c>
    </row>
    <row r="18">
      <c r="A18" s="2" t="s">
        <v>46</v>
      </c>
      <c r="B18" s="2">
        <v>63851.0</v>
      </c>
      <c r="C18" s="2">
        <f>'ВВП (расходы)'!D18</f>
        <v>447752</v>
      </c>
      <c r="D18" s="25">
        <v>431214.0</v>
      </c>
      <c r="E18" s="25">
        <v>51784.0</v>
      </c>
      <c r="F18" s="2">
        <f t="shared" si="1"/>
        <v>482998</v>
      </c>
      <c r="G18" s="2">
        <v>287084.0</v>
      </c>
      <c r="H18" s="2">
        <v>270735.0</v>
      </c>
      <c r="I18" s="2">
        <v>180213.0</v>
      </c>
      <c r="J18" s="2">
        <v>15296.0</v>
      </c>
      <c r="K18" s="2">
        <v>75226.0</v>
      </c>
      <c r="L18" s="2">
        <v>16349.0</v>
      </c>
      <c r="M18" s="2">
        <v>280778.0</v>
      </c>
      <c r="N18" s="2">
        <v>267015.0</v>
      </c>
      <c r="O18" s="2">
        <v>13763.0</v>
      </c>
      <c r="P18" s="2">
        <v>4405.0</v>
      </c>
      <c r="Q18" s="2">
        <f t="shared" si="2"/>
        <v>572267</v>
      </c>
      <c r="R18" s="2">
        <f t="shared" si="3"/>
        <v>89269</v>
      </c>
      <c r="S18" s="2">
        <f t="shared" si="4"/>
        <v>-422334</v>
      </c>
      <c r="T18" s="2">
        <f>S18/'ВВП (расходы)'!B18*100</f>
        <v>-17.40736466</v>
      </c>
    </row>
    <row r="19">
      <c r="A19" s="2" t="s">
        <v>47</v>
      </c>
      <c r="B19" s="2">
        <v>67980.0</v>
      </c>
      <c r="C19" s="2">
        <f>'ВВП (расходы)'!D19</f>
        <v>456952</v>
      </c>
      <c r="D19" s="25">
        <v>425271.0</v>
      </c>
      <c r="E19" s="25">
        <v>52614.0</v>
      </c>
      <c r="F19" s="2">
        <f t="shared" si="1"/>
        <v>477885</v>
      </c>
      <c r="G19" s="2">
        <v>309270.0</v>
      </c>
      <c r="H19" s="2">
        <v>290865.0</v>
      </c>
      <c r="I19" s="2">
        <v>189909.0</v>
      </c>
      <c r="J19" s="2">
        <v>18152.0</v>
      </c>
      <c r="K19" s="2">
        <v>82804.0</v>
      </c>
      <c r="L19" s="2">
        <v>18405.0</v>
      </c>
      <c r="M19" s="2">
        <v>306013.0</v>
      </c>
      <c r="N19" s="2">
        <v>292154.0</v>
      </c>
      <c r="O19" s="2">
        <v>13859.0</v>
      </c>
      <c r="P19" s="2">
        <v>4245.0</v>
      </c>
      <c r="Q19" s="2">
        <f t="shared" si="2"/>
        <v>619528</v>
      </c>
      <c r="R19" s="2">
        <f t="shared" si="3"/>
        <v>141643</v>
      </c>
      <c r="S19" s="2">
        <f t="shared" si="4"/>
        <v>-383289</v>
      </c>
      <c r="T19" s="2">
        <f>S19/'ВВП (расходы)'!B19*100</f>
        <v>-15.07694063</v>
      </c>
    </row>
    <row r="20">
      <c r="A20" s="2" t="s">
        <v>48</v>
      </c>
      <c r="B20" s="2">
        <v>64185.0</v>
      </c>
      <c r="C20" s="2">
        <f>'ВВП (расходы)'!D20</f>
        <v>475217</v>
      </c>
      <c r="D20" s="25">
        <v>431667.0</v>
      </c>
      <c r="E20" s="25">
        <v>55287.0</v>
      </c>
      <c r="F20" s="2">
        <f t="shared" si="1"/>
        <v>486954</v>
      </c>
      <c r="G20" s="2">
        <v>315623.0</v>
      </c>
      <c r="H20" s="2">
        <v>295773.0</v>
      </c>
      <c r="I20" s="2">
        <v>194034.0</v>
      </c>
      <c r="J20" s="2">
        <v>17485.0</v>
      </c>
      <c r="K20" s="2">
        <v>84254.0</v>
      </c>
      <c r="L20" s="2">
        <v>19850.0</v>
      </c>
      <c r="M20" s="2">
        <v>326393.0</v>
      </c>
      <c r="N20" s="2">
        <v>312554.0</v>
      </c>
      <c r="O20" s="2">
        <v>13839.0</v>
      </c>
      <c r="P20" s="2">
        <v>4305.0</v>
      </c>
      <c r="Q20" s="2">
        <f t="shared" si="2"/>
        <v>646321</v>
      </c>
      <c r="R20" s="2">
        <f t="shared" si="3"/>
        <v>159367</v>
      </c>
      <c r="S20" s="2">
        <f t="shared" si="4"/>
        <v>-380035</v>
      </c>
      <c r="T20" s="2">
        <f>S20/'ВВП (расходы)'!B20*100</f>
        <v>-14.67497915</v>
      </c>
    </row>
    <row r="21">
      <c r="A21" s="2" t="s">
        <v>49</v>
      </c>
      <c r="B21" s="2">
        <v>51902.0</v>
      </c>
      <c r="C21" s="2">
        <f>'ВВП (расходы)'!D21</f>
        <v>498790</v>
      </c>
      <c r="D21" s="25">
        <v>440113.0</v>
      </c>
      <c r="E21" s="25">
        <v>63725.0</v>
      </c>
      <c r="F21" s="2">
        <f t="shared" si="1"/>
        <v>503838</v>
      </c>
      <c r="G21" s="2">
        <v>325968.0</v>
      </c>
      <c r="H21" s="2">
        <v>306313.0</v>
      </c>
      <c r="I21" s="2">
        <v>197006.0</v>
      </c>
      <c r="J21" s="2">
        <v>18222.0</v>
      </c>
      <c r="K21" s="2">
        <v>91085.0</v>
      </c>
      <c r="L21" s="2">
        <v>19655.0</v>
      </c>
      <c r="M21" s="2">
        <v>340391.0</v>
      </c>
      <c r="N21" s="2">
        <v>326253.0</v>
      </c>
      <c r="O21" s="2">
        <v>14138.0</v>
      </c>
      <c r="P21" s="2">
        <v>4632.0</v>
      </c>
      <c r="Q21" s="2">
        <f t="shared" si="2"/>
        <v>670991</v>
      </c>
      <c r="R21" s="2">
        <f t="shared" si="3"/>
        <v>167153</v>
      </c>
      <c r="S21" s="2">
        <f t="shared" si="4"/>
        <v>-383539</v>
      </c>
      <c r="T21" s="2">
        <f>S21/'ВВП (расходы)'!B21*100</f>
        <v>-15.37310561</v>
      </c>
    </row>
    <row r="22" ht="15.75" customHeight="1">
      <c r="A22" s="2" t="s">
        <v>50</v>
      </c>
      <c r="B22" s="2">
        <v>47547.0</v>
      </c>
      <c r="C22" s="2">
        <f>'ВВП (расходы)'!D22</f>
        <v>512022</v>
      </c>
      <c r="D22" s="25">
        <v>452763.0</v>
      </c>
      <c r="E22" s="25">
        <v>61462.0</v>
      </c>
      <c r="F22" s="2">
        <f t="shared" si="1"/>
        <v>514225</v>
      </c>
      <c r="G22" s="2">
        <v>337783.0</v>
      </c>
      <c r="H22" s="2">
        <v>317751.0</v>
      </c>
      <c r="I22" s="2">
        <v>203083.0</v>
      </c>
      <c r="J22" s="2">
        <v>19098.0</v>
      </c>
      <c r="K22" s="2">
        <v>95570.0</v>
      </c>
      <c r="L22" s="2">
        <v>20032.0</v>
      </c>
      <c r="M22" s="2">
        <v>353543.0</v>
      </c>
      <c r="N22" s="2">
        <v>338800.0</v>
      </c>
      <c r="O22" s="2">
        <v>14743.0</v>
      </c>
      <c r="P22" s="2">
        <v>5452.0</v>
      </c>
      <c r="Q22" s="2">
        <f t="shared" si="2"/>
        <v>696778</v>
      </c>
      <c r="R22" s="2">
        <f t="shared" si="3"/>
        <v>182553</v>
      </c>
      <c r="S22" s="2">
        <f t="shared" si="4"/>
        <v>-377016</v>
      </c>
      <c r="T22" s="2">
        <f>S22/'ВВП (расходы)'!B22*100</f>
        <v>-14.41159606</v>
      </c>
    </row>
    <row r="23" ht="15.75" customHeight="1">
      <c r="A23" s="2" t="s">
        <v>51</v>
      </c>
      <c r="B23" s="2">
        <v>42913.0</v>
      </c>
      <c r="C23" s="2">
        <f>'ВВП (расходы)'!D23</f>
        <v>523421</v>
      </c>
      <c r="D23" s="25">
        <v>471572.0</v>
      </c>
      <c r="E23" s="25">
        <v>63697.0</v>
      </c>
      <c r="F23" s="2">
        <f t="shared" si="1"/>
        <v>535269</v>
      </c>
      <c r="G23" s="2">
        <v>349818.0</v>
      </c>
      <c r="H23" s="2">
        <v>328244.0</v>
      </c>
      <c r="I23" s="2">
        <v>211614.0</v>
      </c>
      <c r="J23" s="2">
        <v>18855.0</v>
      </c>
      <c r="K23" s="2">
        <v>97775.0</v>
      </c>
      <c r="L23" s="2">
        <v>21574.0</v>
      </c>
      <c r="M23" s="2">
        <v>371654.0</v>
      </c>
      <c r="N23" s="2">
        <v>356939.0</v>
      </c>
      <c r="O23" s="2">
        <v>14715.0</v>
      </c>
      <c r="P23" s="2">
        <v>6290.0</v>
      </c>
      <c r="Q23" s="2">
        <f t="shared" si="2"/>
        <v>727762</v>
      </c>
      <c r="R23" s="2">
        <f t="shared" si="3"/>
        <v>192493</v>
      </c>
      <c r="S23" s="2">
        <f t="shared" si="4"/>
        <v>-373841</v>
      </c>
      <c r="T23" s="2">
        <f>S23/'ВВП (расходы)'!B23*100</f>
        <v>-13.60505275</v>
      </c>
    </row>
    <row r="24" ht="15.75" customHeight="1">
      <c r="A24" s="2" t="s">
        <v>52</v>
      </c>
      <c r="B24" s="2">
        <v>37888.0</v>
      </c>
      <c r="C24" s="2">
        <f>'ВВП (расходы)'!D24</f>
        <v>538870</v>
      </c>
      <c r="D24" s="25">
        <v>489370.0</v>
      </c>
      <c r="E24" s="25">
        <v>65197.0</v>
      </c>
      <c r="F24" s="2">
        <f t="shared" si="1"/>
        <v>554567</v>
      </c>
      <c r="G24" s="2">
        <v>359160.0</v>
      </c>
      <c r="H24" s="2">
        <v>337957.0</v>
      </c>
      <c r="I24" s="2">
        <v>218781.0</v>
      </c>
      <c r="J24" s="2">
        <v>21050.0</v>
      </c>
      <c r="K24" s="2">
        <v>98126.0</v>
      </c>
      <c r="L24" s="2">
        <v>21203.0</v>
      </c>
      <c r="M24" s="2">
        <v>397057.0</v>
      </c>
      <c r="N24" s="2">
        <v>382350.0</v>
      </c>
      <c r="O24" s="2">
        <v>14707.0</v>
      </c>
      <c r="P24" s="2">
        <v>7006.0</v>
      </c>
      <c r="Q24" s="2">
        <f t="shared" si="2"/>
        <v>763223</v>
      </c>
      <c r="R24" s="2">
        <f t="shared" si="3"/>
        <v>208656</v>
      </c>
      <c r="S24" s="2">
        <f t="shared" si="4"/>
        <v>-368102</v>
      </c>
      <c r="T24" s="2">
        <f>S24/'ВВП (расходы)'!B24*100</f>
        <v>-13.14471607</v>
      </c>
    </row>
    <row r="25" ht="15.75" customHeight="1">
      <c r="A25" s="2" t="s">
        <v>53</v>
      </c>
      <c r="B25" s="2">
        <v>34489.0</v>
      </c>
      <c r="C25" s="2">
        <f>'ВВП (расходы)'!D25</f>
        <v>561975</v>
      </c>
      <c r="D25" s="25">
        <v>509573.0</v>
      </c>
      <c r="E25" s="25">
        <v>64515.0</v>
      </c>
      <c r="F25" s="2">
        <f t="shared" si="1"/>
        <v>574088</v>
      </c>
      <c r="G25" s="2">
        <v>371778.0</v>
      </c>
      <c r="H25" s="2">
        <v>350843.0</v>
      </c>
      <c r="I25" s="2">
        <v>226583.0</v>
      </c>
      <c r="J25" s="2">
        <v>22675.0</v>
      </c>
      <c r="K25" s="2">
        <v>101585.0</v>
      </c>
      <c r="L25" s="2">
        <v>20935.0</v>
      </c>
      <c r="M25" s="2">
        <v>421401.0</v>
      </c>
      <c r="N25" s="2">
        <v>406706.0</v>
      </c>
      <c r="O25" s="2">
        <v>14695.0</v>
      </c>
      <c r="P25" s="2">
        <v>6114.0</v>
      </c>
      <c r="Q25" s="2">
        <f t="shared" si="2"/>
        <v>799293</v>
      </c>
      <c r="R25" s="2">
        <f t="shared" si="3"/>
        <v>225205</v>
      </c>
      <c r="S25" s="2">
        <f t="shared" si="4"/>
        <v>-371259</v>
      </c>
      <c r="T25" s="2">
        <f>S25/'ВВП (расходы)'!B25*100</f>
        <v>-12.94812505</v>
      </c>
    </row>
    <row r="26" ht="15.75" customHeight="1">
      <c r="A26" s="2" t="s">
        <v>54</v>
      </c>
      <c r="B26" s="2">
        <v>31787.0</v>
      </c>
      <c r="C26" s="2">
        <f>'ВВП (расходы)'!D26</f>
        <v>583523</v>
      </c>
      <c r="D26" s="25">
        <v>523248.0</v>
      </c>
      <c r="E26" s="25">
        <v>72237.0</v>
      </c>
      <c r="F26" s="2">
        <f t="shared" si="1"/>
        <v>595485</v>
      </c>
      <c r="G26" s="2">
        <v>381400.0</v>
      </c>
      <c r="H26" s="2">
        <v>359753.0</v>
      </c>
      <c r="I26" s="2">
        <v>235129.0</v>
      </c>
      <c r="J26" s="2">
        <v>24568.0</v>
      </c>
      <c r="K26" s="2">
        <v>100056.0</v>
      </c>
      <c r="L26" s="2">
        <v>21647.0</v>
      </c>
      <c r="M26" s="2">
        <v>444667.0</v>
      </c>
      <c r="N26" s="2">
        <v>429889.0</v>
      </c>
      <c r="O26" s="2">
        <v>14778.0</v>
      </c>
      <c r="P26" s="2">
        <v>6812.0</v>
      </c>
      <c r="Q26" s="2">
        <f t="shared" si="2"/>
        <v>832879</v>
      </c>
      <c r="R26" s="2">
        <f t="shared" si="3"/>
        <v>237394</v>
      </c>
      <c r="S26" s="2">
        <f t="shared" si="4"/>
        <v>-377916</v>
      </c>
      <c r="T26" s="2">
        <f>S26/'ВВП (расходы)'!B26*100</f>
        <v>-12.65978152</v>
      </c>
    </row>
    <row r="27" ht="15.75" customHeight="1">
      <c r="A27" s="2" t="s">
        <v>55</v>
      </c>
      <c r="B27" s="2">
        <v>28052.0</v>
      </c>
      <c r="C27" s="2">
        <f>'ВВП (расходы)'!D27</f>
        <v>605942</v>
      </c>
      <c r="D27" s="25">
        <v>549967.0</v>
      </c>
      <c r="E27" s="25">
        <v>75411.0</v>
      </c>
      <c r="F27" s="2">
        <f t="shared" si="1"/>
        <v>625378</v>
      </c>
      <c r="G27" s="2">
        <v>394384.0</v>
      </c>
      <c r="H27" s="2">
        <v>370631.0</v>
      </c>
      <c r="I27" s="2">
        <v>244112.0</v>
      </c>
      <c r="J27" s="2">
        <v>25527.0</v>
      </c>
      <c r="K27" s="2">
        <v>100992.0</v>
      </c>
      <c r="L27" s="2">
        <v>23753.0</v>
      </c>
      <c r="M27" s="2">
        <v>457903.0</v>
      </c>
      <c r="N27" s="2">
        <v>442826.0</v>
      </c>
      <c r="O27" s="2">
        <v>15077.0</v>
      </c>
      <c r="P27" s="2">
        <v>6987.0</v>
      </c>
      <c r="Q27" s="2">
        <f t="shared" si="2"/>
        <v>859274</v>
      </c>
      <c r="R27" s="2">
        <f t="shared" si="3"/>
        <v>233896</v>
      </c>
      <c r="S27" s="2">
        <f t="shared" si="4"/>
        <v>-400098</v>
      </c>
      <c r="T27" s="2">
        <f>S27/'ВВП (расходы)'!B27*100</f>
        <v>-12.96640902</v>
      </c>
    </row>
    <row r="28" ht="15.75" customHeight="1">
      <c r="A28" s="2" t="s">
        <v>56</v>
      </c>
      <c r="B28" s="2">
        <v>22390.0</v>
      </c>
      <c r="C28" s="2">
        <f>'ВВП (расходы)'!D28</f>
        <v>633891</v>
      </c>
      <c r="D28" s="25">
        <v>595429.0</v>
      </c>
      <c r="E28" s="25">
        <v>82593.0</v>
      </c>
      <c r="F28" s="2">
        <f t="shared" si="1"/>
        <v>678022</v>
      </c>
      <c r="G28" s="2">
        <v>371274.0</v>
      </c>
      <c r="H28" s="2">
        <v>346543.0</v>
      </c>
      <c r="I28" s="2">
        <v>221565.0</v>
      </c>
      <c r="J28" s="2">
        <v>25710.0</v>
      </c>
      <c r="K28" s="2">
        <v>99268.0</v>
      </c>
      <c r="L28" s="2">
        <v>24731.0</v>
      </c>
      <c r="M28" s="2">
        <v>428972.0</v>
      </c>
      <c r="N28" s="2">
        <v>413824.0</v>
      </c>
      <c r="O28" s="2">
        <v>15148.0</v>
      </c>
      <c r="P28" s="2">
        <v>8657.0</v>
      </c>
      <c r="Q28" s="2">
        <f t="shared" si="2"/>
        <v>808903</v>
      </c>
      <c r="R28" s="2">
        <f t="shared" si="3"/>
        <v>130881</v>
      </c>
      <c r="S28" s="2">
        <f t="shared" si="4"/>
        <v>-525400</v>
      </c>
      <c r="T28" s="2">
        <f>S28/'ВВП (расходы)'!B28*100</f>
        <v>-16.43873334</v>
      </c>
    </row>
    <row r="29" ht="15.75" customHeight="1">
      <c r="A29" s="2" t="s">
        <v>57</v>
      </c>
      <c r="B29" s="2">
        <v>21734.0</v>
      </c>
      <c r="C29" s="2">
        <f>'ВВП (расходы)'!D29</f>
        <v>657990</v>
      </c>
      <c r="D29" s="25">
        <v>606167.0</v>
      </c>
      <c r="E29" s="25">
        <v>90586.0</v>
      </c>
      <c r="F29" s="2">
        <f t="shared" si="1"/>
        <v>696753</v>
      </c>
      <c r="G29" s="2">
        <v>411025.0</v>
      </c>
      <c r="H29" s="2">
        <v>386005.0</v>
      </c>
      <c r="I29" s="2">
        <v>260333.0</v>
      </c>
      <c r="J29" s="2">
        <v>26343.0</v>
      </c>
      <c r="K29" s="2">
        <v>99329.0</v>
      </c>
      <c r="L29" s="2">
        <v>25020.0</v>
      </c>
      <c r="M29" s="2">
        <v>486556.0</v>
      </c>
      <c r="N29" s="2">
        <v>471091.0</v>
      </c>
      <c r="O29" s="2">
        <v>15465.0</v>
      </c>
      <c r="P29" s="2">
        <v>9775.0</v>
      </c>
      <c r="Q29" s="2">
        <f t="shared" si="2"/>
        <v>907356</v>
      </c>
      <c r="R29" s="2">
        <f t="shared" si="3"/>
        <v>210603</v>
      </c>
      <c r="S29" s="2">
        <f t="shared" si="4"/>
        <v>-469121</v>
      </c>
      <c r="T29" s="2">
        <f>S29/'ВВП (расходы)'!B29*100</f>
        <v>-14.08302338</v>
      </c>
    </row>
    <row r="30" ht="15.75" customHeight="1">
      <c r="A30" s="2" t="s">
        <v>58</v>
      </c>
      <c r="B30" s="2">
        <v>27871.0</v>
      </c>
      <c r="C30" s="2">
        <f>'ВВП (расходы)'!D30</f>
        <v>680525</v>
      </c>
      <c r="D30" s="25">
        <v>613928.0</v>
      </c>
      <c r="E30" s="25">
        <v>111308.0</v>
      </c>
      <c r="F30" s="2">
        <f t="shared" si="1"/>
        <v>725236</v>
      </c>
      <c r="G30" s="2">
        <v>431742.0</v>
      </c>
      <c r="H30" s="2">
        <v>396290.0</v>
      </c>
      <c r="I30" s="2">
        <v>289641.0</v>
      </c>
      <c r="J30" s="2">
        <v>23993.0</v>
      </c>
      <c r="K30" s="2">
        <v>82656.0</v>
      </c>
      <c r="L30" s="2">
        <v>35452.0</v>
      </c>
      <c r="M30" s="2">
        <v>529014.0</v>
      </c>
      <c r="N30" s="2">
        <v>513431.0</v>
      </c>
      <c r="O30" s="2">
        <v>15583.0</v>
      </c>
      <c r="P30" s="2">
        <v>9226.0</v>
      </c>
      <c r="Q30" s="2">
        <f t="shared" si="2"/>
        <v>969982</v>
      </c>
      <c r="R30" s="2">
        <f t="shared" si="3"/>
        <v>244746</v>
      </c>
      <c r="S30" s="2">
        <f t="shared" si="4"/>
        <v>-463650</v>
      </c>
      <c r="T30" s="2">
        <f>S30/'ВВП (расходы)'!B30*100</f>
        <v>-13.51304089</v>
      </c>
    </row>
    <row r="31" ht="15.75" customHeight="1">
      <c r="A31" s="2" t="s">
        <v>59</v>
      </c>
      <c r="B31" s="2">
        <v>36567.0</v>
      </c>
      <c r="C31" s="2">
        <f>'ВВП (расходы)'!D31</f>
        <v>717506</v>
      </c>
      <c r="D31" s="25">
        <v>656996.0</v>
      </c>
      <c r="E31" s="25">
        <v>91852.0</v>
      </c>
      <c r="F31" s="2">
        <f t="shared" si="1"/>
        <v>748848</v>
      </c>
      <c r="G31" s="2">
        <v>424310.0</v>
      </c>
      <c r="H31" s="2">
        <v>388359.0</v>
      </c>
      <c r="I31" s="2">
        <v>286587.0</v>
      </c>
      <c r="J31" s="2">
        <v>28581.0</v>
      </c>
      <c r="K31" s="2">
        <v>73191.0</v>
      </c>
      <c r="L31" s="2">
        <v>35951.0</v>
      </c>
      <c r="M31" s="2">
        <v>533287.0</v>
      </c>
      <c r="N31" s="2">
        <v>517690.0</v>
      </c>
      <c r="O31" s="2">
        <v>15597.0</v>
      </c>
      <c r="P31" s="2">
        <v>9285.0</v>
      </c>
      <c r="Q31" s="2">
        <f t="shared" si="2"/>
        <v>966882</v>
      </c>
      <c r="R31" s="2">
        <f t="shared" si="3"/>
        <v>218034</v>
      </c>
      <c r="S31" s="2">
        <f t="shared" si="4"/>
        <v>-536039</v>
      </c>
      <c r="T31" s="2">
        <f>S31/'ВВП (расходы)'!B31*100</f>
        <v>-15.16427715</v>
      </c>
    </row>
    <row r="32" ht="15.75" customHeight="1">
      <c r="A32" s="2" t="s">
        <v>60</v>
      </c>
      <c r="B32" s="2">
        <v>45416.0</v>
      </c>
      <c r="C32" s="2">
        <f>'ВВП (расходы)'!D32</f>
        <v>769045</v>
      </c>
      <c r="D32" s="25">
        <v>703226.0</v>
      </c>
      <c r="E32" s="25">
        <v>90217.0</v>
      </c>
      <c r="F32" s="2">
        <f t="shared" si="1"/>
        <v>793443</v>
      </c>
      <c r="G32" s="2">
        <v>416878.0</v>
      </c>
      <c r="H32" s="2">
        <v>380428.0</v>
      </c>
      <c r="I32" s="2">
        <v>283533.0</v>
      </c>
      <c r="J32" s="2">
        <v>33169.0</v>
      </c>
      <c r="K32" s="2">
        <v>63726.0</v>
      </c>
      <c r="L32" s="2">
        <v>36450.0</v>
      </c>
      <c r="M32" s="2">
        <v>537560.0</v>
      </c>
      <c r="N32" s="2">
        <v>521949.0</v>
      </c>
      <c r="O32" s="2">
        <v>15611.0</v>
      </c>
      <c r="P32" s="2">
        <v>9344.0</v>
      </c>
      <c r="Q32" s="2">
        <f t="shared" si="2"/>
        <v>963782</v>
      </c>
      <c r="R32" s="2">
        <f t="shared" si="3"/>
        <v>170339</v>
      </c>
      <c r="S32" s="2">
        <f t="shared" si="4"/>
        <v>-644122</v>
      </c>
      <c r="T32" s="2">
        <f>S32/'ВВП (расходы)'!B32*100</f>
        <v>-18.67225955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2.25"/>
    <col customWidth="1" min="3" max="3" width="34.0"/>
    <col customWidth="1" min="4" max="4" width="49.75"/>
    <col customWidth="1" min="5" max="26" width="7.63"/>
  </cols>
  <sheetData>
    <row r="1" ht="14.25" customHeight="1">
      <c r="A1" s="3" t="s">
        <v>132</v>
      </c>
      <c r="B1" s="2" t="s">
        <v>133</v>
      </c>
    </row>
    <row r="2" ht="14.25" customHeight="1">
      <c r="A2" s="2" t="s">
        <v>27</v>
      </c>
      <c r="B2" s="12">
        <f>'ВВП (расходы)'!C3+'ВВП (расходы)'!F3+'ГосБюджет'!C3+'ВВП (расходы)'!G3-('ВВП (расходы)'!C3+'ГосБюджет'!R3+'ВВП (расходы)'!H3)</f>
        <v>233705.9</v>
      </c>
      <c r="C2" s="12"/>
    </row>
    <row r="3" ht="14.25" customHeight="1">
      <c r="A3" s="2" t="s">
        <v>28</v>
      </c>
      <c r="B3" s="12">
        <f>'ВВП (расходы)'!C4+'ВВП (расходы)'!F4+'ГосБюджет'!C4+'ВВП (расходы)'!G4-('ВВП (расходы)'!C4+'ГосБюджет'!R4+'ВВП (расходы)'!H4)</f>
        <v>276076.6</v>
      </c>
      <c r="C3" s="12"/>
    </row>
    <row r="4" ht="14.25" customHeight="1">
      <c r="A4" s="2" t="s">
        <v>29</v>
      </c>
      <c r="B4" s="12">
        <f>'ВВП (расходы)'!C5+'ВВП (расходы)'!F5+'ГосБюджет'!C5+'ВВП (расходы)'!G5-('ВВП (расходы)'!C5+'ГосБюджет'!R5+'ВВП (расходы)'!H5)</f>
        <v>311081.1</v>
      </c>
      <c r="C4" s="12"/>
    </row>
    <row r="5" ht="14.25" customHeight="1">
      <c r="A5" s="2" t="s">
        <v>30</v>
      </c>
      <c r="B5" s="12">
        <f>'ВВП (расходы)'!C6+'ВВП (расходы)'!F6+'ГосБюджет'!C6+'ВВП (расходы)'!G6-('ВВП (расходы)'!C6+'ГосБюджет'!R6+'ВВП (расходы)'!H6)</f>
        <v>320944.2</v>
      </c>
    </row>
    <row r="6" ht="14.25" customHeight="1">
      <c r="A6" s="2" t="s">
        <v>31</v>
      </c>
      <c r="B6" s="12">
        <f>'ВВП (расходы)'!C7+'ВВП (расходы)'!F7+'ГосБюджет'!C7+'ВВП (расходы)'!G7-('ВВП (расходы)'!C7+'ГосБюджет'!R7+'ВВП (расходы)'!H7)</f>
        <v>342266.1</v>
      </c>
    </row>
    <row r="7" ht="14.25" customHeight="1">
      <c r="A7" s="2" t="s">
        <v>32</v>
      </c>
      <c r="B7" s="12">
        <f>'ВВП (расходы)'!C8+'ВВП (расходы)'!F8+'ГосБюджет'!C8+'ВВП (расходы)'!G8-('ВВП (расходы)'!C8+'ГосБюджет'!R8+'ВВП (расходы)'!H8)</f>
        <v>326712</v>
      </c>
    </row>
    <row r="8" ht="14.25" customHeight="1">
      <c r="A8" s="2" t="s">
        <v>33</v>
      </c>
      <c r="B8" s="12">
        <f>'ВВП (расходы)'!C9+'ВВП (расходы)'!F9+'ГосБюджет'!C9+'ВВП (расходы)'!G9-('ВВП (расходы)'!C9+'ГосБюджет'!R9+'ВВП (расходы)'!H9)</f>
        <v>362550.1</v>
      </c>
    </row>
    <row r="9" ht="14.25" customHeight="1">
      <c r="A9" s="2" t="s">
        <v>34</v>
      </c>
      <c r="B9" s="12">
        <f>'ВВП (расходы)'!C10+'ВВП (расходы)'!F10+'ГосБюджет'!C10+'ВВП (расходы)'!G10-('ВВП (расходы)'!C10+'ГосБюджет'!R10+'ВВП (расходы)'!H10)</f>
        <v>398345.4</v>
      </c>
    </row>
    <row r="10" ht="14.25" customHeight="1">
      <c r="A10" s="2" t="s">
        <v>35</v>
      </c>
      <c r="B10" s="12">
        <f>'ВВП (расходы)'!C11+'ВВП (расходы)'!F11+'ГосБюджет'!C11+'ВВП (расходы)'!G11-('ВВП (расходы)'!C11+'ГосБюджет'!R11+'ВВП (расходы)'!H11)</f>
        <v>405803</v>
      </c>
    </row>
    <row r="11" ht="14.25" customHeight="1">
      <c r="A11" s="2" t="s">
        <v>36</v>
      </c>
      <c r="B11" s="12">
        <f>'ВВП (расходы)'!C12+'ВВП (расходы)'!F12+'ГосБюджет'!C12+'ВВП (расходы)'!G12-('ВВП (расходы)'!C12+'ГосБюджет'!R12+'ВВП (расходы)'!H12)</f>
        <v>408867</v>
      </c>
    </row>
    <row r="12" ht="14.25" customHeight="1">
      <c r="A12" s="2" t="s">
        <v>37</v>
      </c>
      <c r="B12" s="12">
        <f>'ВВП (расходы)'!C13+'ВВП (расходы)'!F13+'ГосБюджет'!C13+'ВВП (расходы)'!G13-('ВВП (расходы)'!C13+'ГосБюджет'!R13+'ВВП (расходы)'!H13)</f>
        <v>443134</v>
      </c>
    </row>
    <row r="13" ht="14.25" customHeight="1">
      <c r="A13" s="2" t="s">
        <v>38</v>
      </c>
      <c r="B13" s="12">
        <f>'ВВП (расходы)'!C14+'ВВП (расходы)'!F14+'ГосБюджет'!C14+'ВВП (расходы)'!G14-('ВВП (расходы)'!C14+'ГосБюджет'!R14+'ВВП (расходы)'!H14)</f>
        <v>448404</v>
      </c>
    </row>
    <row r="14" ht="14.25" customHeight="1">
      <c r="A14" s="2" t="s">
        <v>39</v>
      </c>
      <c r="B14" s="12">
        <f>'ВВП (расходы)'!C15+'ВВП (расходы)'!F15+'ГосБюджет'!C15+'ВВП (расходы)'!G15-('ВВП (расходы)'!C15+'ГосБюджет'!R15+'ВВП (расходы)'!H15)</f>
        <v>389728</v>
      </c>
    </row>
    <row r="15" ht="14.25" customHeight="1">
      <c r="A15" s="2" t="s">
        <v>40</v>
      </c>
      <c r="B15" s="12">
        <f>'ВВП (расходы)'!C16+'ВВП (расходы)'!F16+'ГосБюджет'!C16+'ВВП (расходы)'!G16-('ВВП (расходы)'!C16+'ГосБюджет'!R16+'ВВП (расходы)'!H16)</f>
        <v>406027</v>
      </c>
    </row>
    <row r="16" ht="14.25" customHeight="1">
      <c r="A16" s="2" t="s">
        <v>41</v>
      </c>
      <c r="B16" s="12">
        <f>'ВВП (расходы)'!C17+'ВВП (расходы)'!F17+'ГосБюджет'!C17+'ВВП (расходы)'!G17-('ВВП (расходы)'!C17+'ГосБюджет'!R17+'ВВП (расходы)'!H17)</f>
        <v>456714</v>
      </c>
    </row>
    <row r="17" ht="14.25" customHeight="1">
      <c r="A17" s="2" t="s">
        <v>42</v>
      </c>
      <c r="B17" s="12">
        <f>'ВВП (расходы)'!C18+'ВВП (расходы)'!F18+'ГосБюджет'!C18+'ВВП (расходы)'!G18-('ВВП (расходы)'!C18+'ГосБюджет'!R18+'ВВП (расходы)'!H18)</f>
        <v>494719</v>
      </c>
    </row>
    <row r="18" ht="14.25" customHeight="1">
      <c r="A18" s="2" t="s">
        <v>43</v>
      </c>
      <c r="B18" s="12">
        <f>'ВВП (расходы)'!C19+'ВВП (расходы)'!F19+'ГосБюджет'!C19+'ВВП (расходы)'!G19-('ВВП (расходы)'!C19+'ГосБюджет'!R19+'ВВП (расходы)'!H19)</f>
        <v>505008</v>
      </c>
    </row>
    <row r="19" ht="14.25" customHeight="1">
      <c r="A19" s="2" t="s">
        <v>44</v>
      </c>
      <c r="B19" s="12">
        <f>'ВВП (расходы)'!C20+'ВВП (расходы)'!F20+'ГосБюджет'!C20+'ВВП (расходы)'!G20-('ВВП (расходы)'!C20+'ГосБюджет'!R20+'ВВП (расходы)'!H20)</f>
        <v>489946</v>
      </c>
    </row>
    <row r="20" ht="14.25" customHeight="1">
      <c r="A20" s="2" t="s">
        <v>45</v>
      </c>
      <c r="B20" s="12">
        <f>'ВВП (расходы)'!C21+'ВВП (расходы)'!F21+'ГосБюджет'!C21+'ВВП (расходы)'!G21-('ВВП (расходы)'!C21+'ГосБюджет'!R21+'ВВП (расходы)'!H21)</f>
        <v>430753</v>
      </c>
    </row>
    <row r="21" ht="14.25" customHeight="1">
      <c r="A21" s="2" t="s">
        <v>46</v>
      </c>
      <c r="B21" s="12">
        <f>'ВВП (расходы)'!C22+'ВВП (расходы)'!F22+'ГосБюджет'!C22+'ВВП (расходы)'!G22-('ВВП (расходы)'!C22+'ГосБюджет'!R22+'ВВП (расходы)'!H22)</f>
        <v>472810</v>
      </c>
    </row>
    <row r="22" ht="14.25" customHeight="1">
      <c r="A22" s="2" t="s">
        <v>47</v>
      </c>
      <c r="B22" s="12">
        <f>'ВВП (расходы)'!C23+'ВВП (расходы)'!F23+'ГосБюджет'!C23+'ВВП (расходы)'!G23-('ВВП (расходы)'!C23+'ГосБюджет'!R23+'ВВП (расходы)'!H23)</f>
        <v>499750</v>
      </c>
    </row>
    <row r="23" ht="14.25" customHeight="1">
      <c r="A23" s="2" t="s">
        <v>48</v>
      </c>
      <c r="B23" s="12">
        <f>'ВВП (расходы)'!C24+'ВВП (расходы)'!F24+'ГосБюджет'!C24+'ВВП (расходы)'!G24-('ВВП (расходы)'!C24+'ГосБюджет'!R24+'ВВП (расходы)'!H24)</f>
        <v>486553</v>
      </c>
    </row>
    <row r="24" ht="14.25" customHeight="1">
      <c r="A24" s="2" t="s">
        <v>49</v>
      </c>
      <c r="B24" s="12">
        <f>'ВВП (расходы)'!C25+'ВВП (расходы)'!F25+'ГосБюджет'!C25+'ВВП (расходы)'!G25-('ВВП (расходы)'!C25+'ГосБюджет'!R25+'ВВП (расходы)'!H25)</f>
        <v>509151</v>
      </c>
    </row>
    <row r="25" ht="14.25" customHeight="1">
      <c r="A25" s="2" t="s">
        <v>50</v>
      </c>
      <c r="B25" s="12">
        <f>'ВВП (расходы)'!C26+'ВВП (расходы)'!F26+'ГосБюджет'!C26+'ВВП (расходы)'!G26-('ВВП (расходы)'!C26+'ГосБюджет'!R26+'ВВП (расходы)'!H26)</f>
        <v>552635</v>
      </c>
    </row>
    <row r="26" ht="14.25" customHeight="1">
      <c r="A26" s="2" t="s">
        <v>51</v>
      </c>
      <c r="B26" s="12">
        <f>'ВВП (расходы)'!C27+'ВВП (расходы)'!F27+'ГосБюджет'!C27+'ВВП (расходы)'!G27-('ВВП (расходы)'!C27+'ГосБюджет'!R27+'ВВП (расходы)'!H27)</f>
        <v>591829</v>
      </c>
    </row>
    <row r="27" ht="14.25" customHeight="1">
      <c r="A27" s="2" t="s">
        <v>52</v>
      </c>
      <c r="B27" s="12">
        <f>'ВВП (расходы)'!C28+'ВВП (расходы)'!F28+'ГосБюджет'!C28+'ВВП (расходы)'!G28-('ВВП (расходы)'!C28+'ГосБюджет'!R28+'ВВП (расходы)'!H28)</f>
        <v>725450</v>
      </c>
    </row>
    <row r="28" ht="14.25" customHeight="1">
      <c r="A28" s="2" t="s">
        <v>53</v>
      </c>
      <c r="B28" s="12">
        <f>'ВВП (расходы)'!C29+'ВВП (расходы)'!F29+'ГосБюджет'!C29+'ВВП (расходы)'!G29-('ВВП (расходы)'!C29+'ГосБюджет'!R29+'ВВП (расходы)'!H29)</f>
        <v>695641</v>
      </c>
    </row>
    <row r="29" ht="14.25" customHeight="1">
      <c r="A29" s="2" t="s">
        <v>54</v>
      </c>
      <c r="B29" s="12">
        <f>'ВВП (расходы)'!C30+'ВВП (расходы)'!F30+'ГосБюджет'!C30+'ВВП (расходы)'!G30-('ВВП (расходы)'!C30+'ГосБюджет'!R30+'ВВП (расходы)'!H30)</f>
        <v>663007</v>
      </c>
    </row>
    <row r="30" ht="14.25" customHeight="1">
      <c r="A30" s="2" t="s">
        <v>55</v>
      </c>
      <c r="B30" s="12">
        <f>'ВВП (расходы)'!C31+'ВВП (расходы)'!F31+'ГосБюджет'!C31+'ВВП (расходы)'!G31-('ВВП (расходы)'!C31+'ГосБюджет'!R31+'ВВП (расходы)'!H31)</f>
        <v>703515</v>
      </c>
    </row>
    <row r="31" ht="14.25" customHeight="1">
      <c r="A31" s="2" t="s">
        <v>56</v>
      </c>
      <c r="B31" s="12">
        <f>'ВВП (расходы)'!C32+'ВВП (расходы)'!F32+'ГосБюджет'!C32+'ВВП (расходы)'!G32-('ВВП (расходы)'!C32+'ГосБюджет'!R32+'ВВП (расходы)'!H32)</f>
        <v>794036</v>
      </c>
    </row>
    <row r="32" ht="14.25" customHeight="1">
      <c r="A32" s="2" t="s">
        <v>57</v>
      </c>
      <c r="B32" s="12">
        <f>'ВВП (расходы)'!C33+'ВВП (расходы)'!F33+'ГосБюджет'!C33+'ВВП (расходы)'!G33-('ВВП (расходы)'!C33+'ГосБюджет'!R33+'ВВП (расходы)'!H33)</f>
        <v>236231</v>
      </c>
    </row>
    <row r="33" ht="14.25" customHeight="1">
      <c r="A33" s="2" t="s">
        <v>58</v>
      </c>
      <c r="B33" s="12">
        <f>'ВВП (расходы)'!C34+'ВВП (расходы)'!F34+'ГосБюджет'!C34+'ВВП (расходы)'!G34-('ВВП (расходы)'!C34+'ГосБюджет'!R34+'ВВП (расходы)'!H34)</f>
        <v>150689</v>
      </c>
    </row>
    <row r="34" ht="14.25" customHeight="1">
      <c r="A34" s="2" t="s">
        <v>59</v>
      </c>
      <c r="B34" s="12">
        <f>'ВВП (расходы)'!C35+'ВВП (расходы)'!F35+'ГосБюджет'!C35+'ВВП (расходы)'!G35-('ВВП (расходы)'!C35+'ГосБюджет'!R35+'ВВП (расходы)'!H35)</f>
        <v>174891</v>
      </c>
    </row>
    <row r="35" ht="14.25" customHeight="1">
      <c r="A35" s="2" t="s">
        <v>60</v>
      </c>
      <c r="B35" s="12">
        <f>'ВВП (расходы)'!C36+'ВВП (расходы)'!F36+'ГосБюджет'!C36+'ВВП (расходы)'!G36-('ВВП (расходы)'!C36+'ГосБюджет'!R36+'ВВП (расходы)'!H36)</f>
        <v>176147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conditionalFormatting sqref="B2:B35 C2:C4">
    <cfRule type="cellIs" dxfId="0" priority="1" operator="between">
      <formula>-0.000001</formula>
      <formula>0.000001</formula>
    </cfRule>
  </conditionalFormatting>
  <conditionalFormatting sqref="B2:B35 C2:C4">
    <cfRule type="cellIs" dxfId="1" priority="2" operator="notBetween">
      <formula>-0.000001</formula>
      <formula>0.000001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7.63"/>
    <col customWidth="1" min="6" max="6" width="10.88"/>
    <col customWidth="1" min="7" max="8" width="7.63"/>
    <col customWidth="1" min="9" max="10" width="13.88"/>
    <col customWidth="1" min="11" max="11" width="7.63"/>
    <col customWidth="1" min="12" max="16" width="14.13"/>
    <col customWidth="1" min="17" max="17" width="16.63"/>
    <col customWidth="1" min="18" max="18" width="20.38"/>
    <col customWidth="1" min="19" max="19" width="13.63"/>
    <col customWidth="1" min="20" max="31" width="7.63"/>
  </cols>
  <sheetData>
    <row r="1">
      <c r="A1" s="1" t="s">
        <v>11</v>
      </c>
      <c r="B1" s="17" t="s">
        <v>134</v>
      </c>
      <c r="C1" s="17" t="s">
        <v>135</v>
      </c>
      <c r="D1" s="17" t="s">
        <v>136</v>
      </c>
      <c r="E1" s="17" t="s">
        <v>137</v>
      </c>
      <c r="F1" s="17"/>
      <c r="G1" s="19"/>
      <c r="H1" s="17" t="s">
        <v>138</v>
      </c>
      <c r="I1" s="19"/>
      <c r="J1" s="19"/>
      <c r="K1" s="19"/>
      <c r="L1" s="19"/>
      <c r="M1" s="17" t="s">
        <v>139</v>
      </c>
      <c r="N1" s="26"/>
      <c r="O1" s="26"/>
      <c r="P1" s="26"/>
      <c r="Q1" s="26"/>
      <c r="R1" s="19"/>
      <c r="S1" s="19"/>
      <c r="T1" s="19"/>
      <c r="U1" s="19"/>
      <c r="V1" s="19"/>
      <c r="W1" s="19"/>
      <c r="X1" s="19"/>
    </row>
    <row r="2">
      <c r="A2" s="5"/>
      <c r="B2" s="27" t="s">
        <v>140</v>
      </c>
      <c r="C2" s="27" t="s">
        <v>141</v>
      </c>
      <c r="D2" s="27" t="s">
        <v>142</v>
      </c>
      <c r="E2" s="27" t="s">
        <v>143</v>
      </c>
      <c r="F2" s="27" t="s">
        <v>144</v>
      </c>
      <c r="G2" s="28"/>
      <c r="H2" s="27" t="s">
        <v>145</v>
      </c>
      <c r="I2" s="27" t="s">
        <v>146</v>
      </c>
      <c r="J2" s="27" t="s">
        <v>147</v>
      </c>
      <c r="K2" s="28"/>
      <c r="L2" s="27" t="s">
        <v>148</v>
      </c>
      <c r="M2" s="27" t="s">
        <v>149</v>
      </c>
      <c r="N2" s="27" t="s">
        <v>150</v>
      </c>
      <c r="O2" s="27" t="s">
        <v>151</v>
      </c>
      <c r="P2" s="27" t="s">
        <v>152</v>
      </c>
      <c r="Q2" s="27" t="s">
        <v>153</v>
      </c>
      <c r="R2" s="27"/>
      <c r="S2" s="29" t="s">
        <v>154</v>
      </c>
      <c r="T2" s="30"/>
      <c r="U2" s="27"/>
      <c r="V2" s="27"/>
      <c r="W2" s="27"/>
      <c r="X2" s="27"/>
    </row>
    <row r="3">
      <c r="A3" s="2" t="s">
        <v>31</v>
      </c>
      <c r="B3" s="2">
        <v>37316.8</v>
      </c>
      <c r="C3" s="25">
        <v>34241.7</v>
      </c>
      <c r="D3" s="25">
        <v>3075.0</v>
      </c>
      <c r="E3" s="7">
        <v>13266.4</v>
      </c>
      <c r="F3" s="2">
        <f t="shared" ref="F3:F32" si="1">C3+D3+E3</f>
        <v>50583.1</v>
      </c>
      <c r="H3" s="25">
        <v>76.322</v>
      </c>
      <c r="L3" s="2">
        <f t="shared" ref="L3:L32" si="2">D3/B3*100</f>
        <v>8.240256399</v>
      </c>
      <c r="M3" s="25">
        <v>7.489</v>
      </c>
      <c r="N3" s="25">
        <f t="shared" ref="N3:N32" si="3">L3-$M$34</f>
        <v>5.240256399</v>
      </c>
      <c r="O3" s="25">
        <f t="shared" ref="O3:O32" si="4">(N4-N3)/N3</f>
        <v>0.1322779236</v>
      </c>
      <c r="P3" s="25">
        <f t="shared" ref="P3:P32" si="5">SLOPE(O3:O32,N3:N32)</f>
        <v>-5.763670852</v>
      </c>
      <c r="Q3" s="25">
        <f t="shared" ref="Q3:Q32" si="6">O3+P3*N3</f>
        <v>-30.07083514</v>
      </c>
      <c r="S3" s="2">
        <f>'Рынок труда'!F3/('Рынок труда'!F3+'Рынок труда'!E3)</f>
        <v>0.7922239015</v>
      </c>
    </row>
    <row r="4">
      <c r="A4" s="2" t="s">
        <v>32</v>
      </c>
      <c r="B4" s="2">
        <v>37441.4</v>
      </c>
      <c r="C4" s="25">
        <v>34096.6</v>
      </c>
      <c r="D4" s="25">
        <v>3344.8</v>
      </c>
      <c r="E4" s="7">
        <v>13293.6</v>
      </c>
      <c r="F4" s="2">
        <f t="shared" si="1"/>
        <v>50735</v>
      </c>
      <c r="H4" s="25">
        <v>77.115</v>
      </c>
      <c r="I4" s="2">
        <f>'ВВП (расходы)'!B7/(H3/100)</f>
        <v>2598408.192</v>
      </c>
      <c r="J4" s="2" t="str">
        <f>(#REF!/'ВВП (расходы)'!B7-1)*100</f>
        <v>#REF!</v>
      </c>
      <c r="L4" s="2">
        <f t="shared" si="2"/>
        <v>8.933426635</v>
      </c>
      <c r="M4" s="25">
        <v>7.747</v>
      </c>
      <c r="N4" s="25">
        <f t="shared" si="3"/>
        <v>5.933426635</v>
      </c>
      <c r="O4" s="25">
        <f t="shared" si="4"/>
        <v>0.1772941184</v>
      </c>
      <c r="P4" s="25">
        <f t="shared" si="5"/>
        <v>-5.74792709</v>
      </c>
      <c r="Q4" s="25">
        <f t="shared" si="6"/>
        <v>-33.92760957</v>
      </c>
      <c r="S4" s="2">
        <f>'Рынок труда'!F4/('Рынок труда'!F4+'Рынок труда'!E4)</f>
        <v>0.7923802801</v>
      </c>
    </row>
    <row r="5">
      <c r="A5" s="2" t="s">
        <v>33</v>
      </c>
      <c r="B5" s="2">
        <v>37435.7</v>
      </c>
      <c r="C5" s="25">
        <v>33697.5</v>
      </c>
      <c r="D5" s="25">
        <v>3738.1</v>
      </c>
      <c r="E5" s="7">
        <v>12995.0</v>
      </c>
      <c r="F5" s="2">
        <f t="shared" si="1"/>
        <v>50430.6</v>
      </c>
      <c r="H5" s="25">
        <v>78.545</v>
      </c>
      <c r="I5" s="2">
        <f>'ВВП (расходы)'!B9/(H5/100)</f>
        <v>2493629.894</v>
      </c>
      <c r="J5" s="2">
        <f>(I5/'ВВП (расходы)'!B8-1)*100</f>
        <v>26.23990741</v>
      </c>
      <c r="L5" s="2">
        <f t="shared" si="2"/>
        <v>9.985388279</v>
      </c>
      <c r="M5" s="25">
        <v>8.031</v>
      </c>
      <c r="N5" s="25">
        <f t="shared" si="3"/>
        <v>6.985388279</v>
      </c>
      <c r="O5" s="25">
        <f t="shared" si="4"/>
        <v>-0.006710141693</v>
      </c>
      <c r="P5" s="25">
        <f t="shared" si="5"/>
        <v>-5.769187954</v>
      </c>
      <c r="Q5" s="25">
        <f t="shared" si="6"/>
        <v>-40.30672806</v>
      </c>
      <c r="S5" s="2">
        <f>'Рынок труда'!F5/('Рынок труда'!F5+'Рынок труда'!E5)</f>
        <v>0.7951142756</v>
      </c>
    </row>
    <row r="6">
      <c r="A6" s="2" t="s">
        <v>34</v>
      </c>
      <c r="B6" s="2">
        <v>37635.4</v>
      </c>
      <c r="C6" s="25">
        <v>33895.0</v>
      </c>
      <c r="D6" s="25">
        <v>3740.4</v>
      </c>
      <c r="E6" s="7">
        <v>12982.0</v>
      </c>
      <c r="F6" s="2">
        <f t="shared" si="1"/>
        <v>50617.4</v>
      </c>
      <c r="H6" s="25">
        <v>80.191</v>
      </c>
      <c r="I6" s="2">
        <f>'ВВП (расходы)'!B10/(H6/100)</f>
        <v>2504835.455</v>
      </c>
      <c r="J6" s="2">
        <f>(I6/'ВВП (расходы)'!B9-1)*100</f>
        <v>27.88766627</v>
      </c>
      <c r="L6" s="2">
        <f t="shared" si="2"/>
        <v>9.938515334</v>
      </c>
      <c r="M6" s="25">
        <v>8.249</v>
      </c>
      <c r="N6" s="25">
        <f t="shared" si="3"/>
        <v>6.938515334</v>
      </c>
      <c r="O6" s="25">
        <f t="shared" si="4"/>
        <v>-0.1355868229</v>
      </c>
      <c r="P6" s="25">
        <f t="shared" si="5"/>
        <v>-5.912575961</v>
      </c>
      <c r="Q6" s="25">
        <f t="shared" si="6"/>
        <v>-41.16008579</v>
      </c>
      <c r="S6" s="2">
        <f>'Рынок труда'!F6/('Рынок труда'!F6+'Рынок труда'!E6)</f>
        <v>0.7958785775</v>
      </c>
    </row>
    <row r="7">
      <c r="A7" s="2" t="s">
        <v>35</v>
      </c>
      <c r="B7" s="2">
        <v>37811.7</v>
      </c>
      <c r="C7" s="25">
        <v>34409.5</v>
      </c>
      <c r="D7" s="25">
        <v>3402.2</v>
      </c>
      <c r="E7" s="7">
        <v>12748.7</v>
      </c>
      <c r="F7" s="2">
        <f t="shared" si="1"/>
        <v>50560.4</v>
      </c>
      <c r="H7" s="25">
        <v>81.9</v>
      </c>
      <c r="I7" s="2">
        <f>'ВВП (расходы)'!B11/(H7/100)</f>
        <v>2536312.576</v>
      </c>
      <c r="J7" s="2">
        <f>(I7/'ВВП (расходы)'!B10-1)*100</f>
        <v>26.26934973</v>
      </c>
      <c r="L7" s="2">
        <f t="shared" si="2"/>
        <v>8.997744085</v>
      </c>
      <c r="M7" s="25">
        <v>8.426</v>
      </c>
      <c r="N7" s="25">
        <f t="shared" si="3"/>
        <v>5.997744085</v>
      </c>
      <c r="O7" s="25">
        <f t="shared" si="4"/>
        <v>-0.1683593883</v>
      </c>
      <c r="P7" s="25">
        <f t="shared" si="5"/>
        <v>-6.077798941</v>
      </c>
      <c r="Q7" s="25">
        <f t="shared" si="6"/>
        <v>-36.62144203</v>
      </c>
      <c r="S7" s="2">
        <f>'Рынок труда'!F7/('Рынок труда'!F7+'Рынок труда'!E7)</f>
        <v>0.7986276854</v>
      </c>
    </row>
    <row r="8">
      <c r="A8" s="2" t="s">
        <v>36</v>
      </c>
      <c r="B8" s="2">
        <v>37631.6</v>
      </c>
      <c r="C8" s="25">
        <v>34625.6</v>
      </c>
      <c r="D8" s="25">
        <v>3006.0</v>
      </c>
      <c r="E8" s="7">
        <v>12799.1</v>
      </c>
      <c r="F8" s="2">
        <f t="shared" si="1"/>
        <v>50430.7</v>
      </c>
      <c r="H8" s="25">
        <v>84.256</v>
      </c>
      <c r="I8" s="2">
        <f>'ВВП (расходы)'!B12/(H8/100)</f>
        <v>2527606.343</v>
      </c>
      <c r="J8" s="2">
        <f>(I8/'ВВП (расходы)'!B11-1)*100</f>
        <v>21.68099702</v>
      </c>
      <c r="L8" s="2">
        <f t="shared" si="2"/>
        <v>7.987967559</v>
      </c>
      <c r="M8" s="25">
        <v>8.583</v>
      </c>
      <c r="N8" s="25">
        <f t="shared" si="3"/>
        <v>4.987967559</v>
      </c>
      <c r="O8" s="25">
        <f t="shared" si="4"/>
        <v>-0.01685698727</v>
      </c>
      <c r="P8" s="25">
        <f t="shared" si="5"/>
        <v>-6.132956437</v>
      </c>
      <c r="Q8" s="25">
        <f t="shared" si="6"/>
        <v>-30.60784474</v>
      </c>
      <c r="S8" s="2">
        <f>'Рынок труда'!F8/('Рынок труда'!F8+'Рынок труда'!E8)</f>
        <v>0.7975780407</v>
      </c>
    </row>
    <row r="9">
      <c r="A9" s="2" t="s">
        <v>37</v>
      </c>
      <c r="B9" s="2">
        <v>37825.7</v>
      </c>
      <c r="C9" s="25">
        <v>34836.0</v>
      </c>
      <c r="D9" s="25">
        <v>2989.7</v>
      </c>
      <c r="E9" s="7">
        <v>12610.4</v>
      </c>
      <c r="F9" s="2">
        <f t="shared" si="1"/>
        <v>50436.1</v>
      </c>
      <c r="H9" s="25">
        <v>85.635</v>
      </c>
      <c r="I9" s="2">
        <f>'ВВП (расходы)'!B13/(H9/100)</f>
        <v>2563823.203</v>
      </c>
      <c r="J9" s="2">
        <f>(I9/'ВВП (расходы)'!B12-1)*100</f>
        <v>20.38650316</v>
      </c>
      <c r="L9" s="2">
        <f t="shared" si="2"/>
        <v>7.903885454</v>
      </c>
      <c r="M9" s="25">
        <v>8.734</v>
      </c>
      <c r="N9" s="25">
        <f t="shared" si="3"/>
        <v>4.903885454</v>
      </c>
      <c r="O9" s="25">
        <f t="shared" si="4"/>
        <v>0.1461149693</v>
      </c>
      <c r="P9" s="25">
        <f t="shared" si="5"/>
        <v>-6.107273086</v>
      </c>
      <c r="Q9" s="25">
        <f t="shared" si="6"/>
        <v>-29.80325268</v>
      </c>
      <c r="S9" s="2">
        <f>'Рынок труда'!F9/('Рынок труда'!F9+'Рынок труда'!E9)</f>
        <v>0.7999825526</v>
      </c>
    </row>
    <row r="10">
      <c r="A10" s="2" t="s">
        <v>38</v>
      </c>
      <c r="B10" s="2">
        <v>37875.2</v>
      </c>
      <c r="C10" s="25">
        <v>34610.2</v>
      </c>
      <c r="D10" s="25">
        <v>3265.0</v>
      </c>
      <c r="E10" s="7">
        <v>12461.4</v>
      </c>
      <c r="F10" s="2">
        <f t="shared" si="1"/>
        <v>50336.6</v>
      </c>
      <c r="H10" s="25">
        <v>85.439</v>
      </c>
      <c r="I10" s="2">
        <f>'ВВП (расходы)'!B14/(H10/100)</f>
        <v>2602277.648</v>
      </c>
      <c r="J10" s="2">
        <f>(I10/'ВВП (расходы)'!B13-1)*100</f>
        <v>18.52617128</v>
      </c>
      <c r="L10" s="2">
        <f t="shared" si="2"/>
        <v>8.620416526</v>
      </c>
      <c r="M10" s="25">
        <v>8.849</v>
      </c>
      <c r="N10" s="25">
        <f t="shared" si="3"/>
        <v>5.620416526</v>
      </c>
      <c r="O10" s="25">
        <f t="shared" si="4"/>
        <v>0.2343460999</v>
      </c>
      <c r="P10" s="25">
        <f t="shared" si="5"/>
        <v>-6.075597568</v>
      </c>
      <c r="Q10" s="25">
        <f t="shared" si="6"/>
        <v>-33.91304288</v>
      </c>
      <c r="S10" s="2">
        <f>'Рынок труда'!F10/('Рынок труда'!F10+'Рынок труда'!E10)</f>
        <v>0.8015637441</v>
      </c>
    </row>
    <row r="11">
      <c r="A11" s="2" t="s">
        <v>39</v>
      </c>
      <c r="B11" s="2">
        <v>38087.9</v>
      </c>
      <c r="C11" s="25">
        <v>34302.9</v>
      </c>
      <c r="D11" s="25">
        <v>3785.0</v>
      </c>
      <c r="E11" s="7">
        <v>12040.7</v>
      </c>
      <c r="F11" s="2">
        <f t="shared" si="1"/>
        <v>50128.6</v>
      </c>
      <c r="H11" s="25">
        <v>84.987</v>
      </c>
      <c r="I11" s="2">
        <f>'ВВП (расходы)'!B15/(H11/100)</f>
        <v>2636650.311</v>
      </c>
      <c r="J11" s="2">
        <f>(I11/'ВВП (расходы)'!B14-1)*100</f>
        <v>18.58854667</v>
      </c>
      <c r="L11" s="2">
        <f t="shared" si="2"/>
        <v>9.937539218</v>
      </c>
      <c r="M11" s="25">
        <v>8.917</v>
      </c>
      <c r="N11" s="25">
        <f t="shared" si="3"/>
        <v>6.937539218</v>
      </c>
      <c r="O11" s="25">
        <f t="shared" si="4"/>
        <v>0.137154562</v>
      </c>
      <c r="P11" s="25">
        <f t="shared" si="5"/>
        <v>-6.09973123</v>
      </c>
      <c r="Q11" s="25">
        <f t="shared" si="6"/>
        <v>-42.17997007</v>
      </c>
      <c r="S11" s="2">
        <f>'Рынок труда'!F11/('Рынок труда'!F11+'Рынок труда'!E11)</f>
        <v>0.8063240217</v>
      </c>
    </row>
    <row r="12">
      <c r="A12" s="2" t="s">
        <v>40</v>
      </c>
      <c r="B12" s="2">
        <v>38003.3</v>
      </c>
      <c r="C12" s="25">
        <v>33865.2</v>
      </c>
      <c r="D12" s="25">
        <v>4138.2</v>
      </c>
      <c r="E12" s="7">
        <v>11851.3</v>
      </c>
      <c r="F12" s="2">
        <f t="shared" si="1"/>
        <v>49854.7</v>
      </c>
      <c r="H12" s="25">
        <v>85.974</v>
      </c>
      <c r="I12" s="2">
        <f>'ВВП (расходы)'!B16/(H12/100)</f>
        <v>2667131.924</v>
      </c>
      <c r="J12" s="2">
        <f>(I12/'ВВП (расходы)'!B15-1)*100</f>
        <v>19.02534903</v>
      </c>
      <c r="L12" s="2">
        <f t="shared" si="2"/>
        <v>10.88905437</v>
      </c>
      <c r="M12" s="25">
        <v>8.899</v>
      </c>
      <c r="N12" s="25">
        <f t="shared" si="3"/>
        <v>7.889054372</v>
      </c>
      <c r="O12" s="25">
        <f t="shared" si="4"/>
        <v>0.03465769012</v>
      </c>
      <c r="P12" s="25">
        <f t="shared" si="5"/>
        <v>-6.378698842</v>
      </c>
      <c r="Q12" s="25">
        <f t="shared" si="6"/>
        <v>-50.2872443</v>
      </c>
      <c r="S12" s="2">
        <f>'Рынок труда'!F12/('Рынок труда'!F12+'Рынок труда'!E12)</f>
        <v>0.8079392604</v>
      </c>
    </row>
    <row r="13">
      <c r="A13" s="2" t="s">
        <v>41</v>
      </c>
      <c r="B13" s="2">
        <v>38962.7</v>
      </c>
      <c r="C13" s="25">
        <v>34613.5</v>
      </c>
      <c r="D13" s="25">
        <v>4349.2</v>
      </c>
      <c r="E13" s="7">
        <v>10932.9</v>
      </c>
      <c r="F13" s="2">
        <f t="shared" si="1"/>
        <v>49895.6</v>
      </c>
      <c r="H13" s="25">
        <v>86.736</v>
      </c>
      <c r="I13" s="2">
        <f>'ВВП (расходы)'!B17/(H13/100)</f>
        <v>2681366.445</v>
      </c>
      <c r="J13" s="2">
        <f>(I13/'ВВП (расходы)'!B16-1)*100</f>
        <v>16.93500529</v>
      </c>
      <c r="L13" s="2">
        <f t="shared" si="2"/>
        <v>11.16247077</v>
      </c>
      <c r="M13" s="25">
        <v>8.784</v>
      </c>
      <c r="N13" s="25">
        <f t="shared" si="3"/>
        <v>8.162470773</v>
      </c>
      <c r="O13" s="25">
        <f t="shared" si="4"/>
        <v>-0.1145008318</v>
      </c>
      <c r="P13" s="25">
        <f t="shared" si="5"/>
        <v>-7.181759116</v>
      </c>
      <c r="Q13" s="25">
        <f t="shared" si="6"/>
        <v>-58.73539972</v>
      </c>
      <c r="S13" s="2">
        <f>'Рынок труда'!F13/('Рынок труда'!F13+'Рынок труда'!E13)</f>
        <v>0.8202668157</v>
      </c>
    </row>
    <row r="14">
      <c r="A14" s="2" t="s">
        <v>42</v>
      </c>
      <c r="B14" s="2">
        <v>39401.2</v>
      </c>
      <c r="C14" s="25">
        <v>35371.3</v>
      </c>
      <c r="D14" s="25">
        <v>4029.9</v>
      </c>
      <c r="E14" s="7">
        <v>10330.5</v>
      </c>
      <c r="F14" s="2">
        <f t="shared" si="1"/>
        <v>49731.7</v>
      </c>
      <c r="H14" s="25">
        <v>90.08</v>
      </c>
      <c r="I14" s="2">
        <f>'ВВП (расходы)'!B18/(H14/100)</f>
        <v>2693361.456</v>
      </c>
      <c r="J14" s="2">
        <f>(I14/'ВВП (расходы)'!B17-1)*100</f>
        <v>15.80813844</v>
      </c>
      <c r="L14" s="2">
        <f t="shared" si="2"/>
        <v>10.22786108</v>
      </c>
      <c r="M14" s="25">
        <v>8.521</v>
      </c>
      <c r="N14" s="25">
        <f t="shared" si="3"/>
        <v>7.22786108</v>
      </c>
      <c r="O14" s="25">
        <f t="shared" si="4"/>
        <v>-0.224470402</v>
      </c>
      <c r="P14" s="25">
        <f t="shared" si="5"/>
        <v>-8.962656347</v>
      </c>
      <c r="Q14" s="25">
        <f t="shared" si="6"/>
        <v>-65.00530539</v>
      </c>
      <c r="S14" s="2">
        <f>'Рынок труда'!F14/('Рынок труда'!F14+'Рынок труда'!E14)</f>
        <v>0.8280033032</v>
      </c>
    </row>
    <row r="15">
      <c r="A15" s="2" t="s">
        <v>43</v>
      </c>
      <c r="B15" s="2">
        <v>39463.5</v>
      </c>
      <c r="C15" s="25">
        <v>36067.5</v>
      </c>
      <c r="D15" s="25">
        <v>3396.0</v>
      </c>
      <c r="E15" s="7">
        <v>10004.4</v>
      </c>
      <c r="F15" s="2">
        <f t="shared" si="1"/>
        <v>49467.9</v>
      </c>
      <c r="H15" s="25">
        <v>92.684</v>
      </c>
      <c r="I15" s="2">
        <f>'ВВП (расходы)'!B19/(H15/100)</f>
        <v>2742889.819</v>
      </c>
      <c r="J15" s="2">
        <f>(I15/'ВВП (расходы)'!B18-1)*100</f>
        <v>13.05384675</v>
      </c>
      <c r="L15" s="2">
        <f t="shared" si="2"/>
        <v>8.605420198</v>
      </c>
      <c r="M15" s="25">
        <v>8.132</v>
      </c>
      <c r="N15" s="25">
        <f t="shared" si="3"/>
        <v>5.605420198</v>
      </c>
      <c r="O15" s="25">
        <f t="shared" si="4"/>
        <v>-0.197611575</v>
      </c>
      <c r="P15" s="25">
        <f t="shared" si="5"/>
        <v>-11.6884846</v>
      </c>
      <c r="Q15" s="25">
        <f t="shared" si="6"/>
        <v>-65.71647927</v>
      </c>
      <c r="S15" s="2">
        <f>'Рынок труда'!F15/('Рынок труда'!F15+'Рынок труда'!E15)</f>
        <v>0.8317805096</v>
      </c>
    </row>
    <row r="16">
      <c r="A16" s="2" t="s">
        <v>44</v>
      </c>
      <c r="B16" s="2">
        <v>39548.0</v>
      </c>
      <c r="C16" s="25">
        <v>36582.9</v>
      </c>
      <c r="D16" s="25">
        <v>2965.2</v>
      </c>
      <c r="E16" s="7">
        <v>9909.2</v>
      </c>
      <c r="F16" s="2">
        <f t="shared" si="1"/>
        <v>49457.3</v>
      </c>
      <c r="H16" s="25">
        <v>93.527</v>
      </c>
      <c r="I16" s="2">
        <f>'ВВП (расходы)'!B20/(H16/100)</f>
        <v>2768911.651</v>
      </c>
      <c r="J16" s="2">
        <f>(I16/'ВВП (расходы)'!B19-1)*100</f>
        <v>8.917074493</v>
      </c>
      <c r="L16" s="2">
        <f t="shared" si="2"/>
        <v>7.497724284</v>
      </c>
      <c r="M16" s="25">
        <v>7.659</v>
      </c>
      <c r="N16" s="25">
        <f t="shared" si="3"/>
        <v>4.497724284</v>
      </c>
      <c r="O16" s="25">
        <f t="shared" si="4"/>
        <v>0.05105722124</v>
      </c>
      <c r="P16" s="25">
        <f t="shared" si="5"/>
        <v>-14.16969561</v>
      </c>
      <c r="Q16" s="25">
        <f t="shared" si="6"/>
        <v>-63.68032682</v>
      </c>
      <c r="S16" s="2">
        <f>'Рынок труда'!F16/('Рынок труда'!F16+'Рынок труда'!E16)</f>
        <v>0.8330843152</v>
      </c>
    </row>
    <row r="17">
      <c r="A17" s="2" t="s">
        <v>45</v>
      </c>
      <c r="B17" s="2">
        <v>39648.7</v>
      </c>
      <c r="C17" s="25">
        <v>36584.9</v>
      </c>
      <c r="D17" s="25">
        <v>3063.8</v>
      </c>
      <c r="E17" s="7">
        <v>9687.5</v>
      </c>
      <c r="F17" s="2">
        <f t="shared" si="1"/>
        <v>49336.2</v>
      </c>
      <c r="H17" s="25">
        <v>88.341</v>
      </c>
      <c r="I17" s="2">
        <f>'ВВП (расходы)'!B21/(H17/100)</f>
        <v>2824136.018</v>
      </c>
      <c r="J17" s="2">
        <f>(I17/'ВВП (расходы)'!B20-1)*100</f>
        <v>9.053474498</v>
      </c>
      <c r="L17" s="2">
        <f t="shared" si="2"/>
        <v>7.727365588</v>
      </c>
      <c r="M17" s="25">
        <v>7.198</v>
      </c>
      <c r="N17" s="25">
        <f t="shared" si="3"/>
        <v>4.727365588</v>
      </c>
      <c r="O17" s="25">
        <f t="shared" si="4"/>
        <v>-0.1637269228</v>
      </c>
      <c r="P17" s="25">
        <f t="shared" si="5"/>
        <v>-16.18475884</v>
      </c>
      <c r="Q17" s="25">
        <f t="shared" si="6"/>
        <v>-76.67499894</v>
      </c>
      <c r="S17" s="2">
        <f>'Рынок труда'!F17/('Рынок труда'!F17+'Рынок труда'!E17)</f>
        <v>0.8358710145</v>
      </c>
    </row>
    <row r="18">
      <c r="A18" s="2" t="s">
        <v>46</v>
      </c>
      <c r="B18" s="2">
        <v>38939.4</v>
      </c>
      <c r="C18" s="25">
        <v>36231.8</v>
      </c>
      <c r="D18" s="25">
        <v>2707.6</v>
      </c>
      <c r="E18" s="7">
        <v>9354.0</v>
      </c>
      <c r="F18" s="2">
        <f t="shared" si="1"/>
        <v>48293.4</v>
      </c>
      <c r="H18" s="25">
        <v>92.005</v>
      </c>
      <c r="I18" s="2">
        <f>'ВВП (расходы)'!B22/(H18/100)</f>
        <v>2843388.946</v>
      </c>
      <c r="J18" s="2">
        <f>(I18/'ВВП (расходы)'!B21-1)*100</f>
        <v>13.96942311</v>
      </c>
      <c r="L18" s="2">
        <f t="shared" si="2"/>
        <v>6.953368568</v>
      </c>
      <c r="M18" s="25">
        <v>6.619</v>
      </c>
      <c r="N18" s="25">
        <f t="shared" si="3"/>
        <v>3.953368568</v>
      </c>
      <c r="O18" s="25">
        <f t="shared" si="4"/>
        <v>-0.2940277827</v>
      </c>
      <c r="P18" s="25">
        <f t="shared" si="5"/>
        <v>-21.7469048</v>
      </c>
      <c r="Q18" s="25">
        <f t="shared" si="6"/>
        <v>-86.26755765</v>
      </c>
      <c r="S18" s="2">
        <f>'Рынок труда'!F18/('Рынок труда'!F18+'Рынок труда'!E18)</f>
        <v>0.837737695</v>
      </c>
    </row>
    <row r="19">
      <c r="A19" s="2" t="s">
        <v>47</v>
      </c>
      <c r="B19" s="2">
        <v>39226.6</v>
      </c>
      <c r="C19" s="25">
        <v>36955.0</v>
      </c>
      <c r="D19" s="25">
        <v>2271.6</v>
      </c>
      <c r="E19" s="7">
        <v>9107.2</v>
      </c>
      <c r="F19" s="2">
        <f t="shared" si="1"/>
        <v>48333.8</v>
      </c>
      <c r="H19" s="25">
        <v>95.462</v>
      </c>
      <c r="I19" s="2">
        <f>'ВВП (расходы)'!B23/(H19/100)</f>
        <v>2878433.303</v>
      </c>
      <c r="J19" s="2">
        <f>(I19/'ВВП (расходы)'!B22-1)*100</f>
        <v>10.02933049</v>
      </c>
      <c r="L19" s="2">
        <f t="shared" si="2"/>
        <v>5.790968374</v>
      </c>
      <c r="M19" s="25">
        <v>6.016</v>
      </c>
      <c r="N19" s="25">
        <f t="shared" si="3"/>
        <v>2.790968374</v>
      </c>
      <c r="O19" s="25">
        <f t="shared" si="4"/>
        <v>-0.1518766684</v>
      </c>
      <c r="P19" s="25">
        <f t="shared" si="5"/>
        <v>-30.48487478</v>
      </c>
      <c r="Q19" s="25">
        <f t="shared" si="6"/>
        <v>-85.23419804</v>
      </c>
      <c r="S19" s="2">
        <f>'Рынок труда'!F19/('Рынок труда'!F19+'Рынок труда'!E19)</f>
        <v>0.8414512282</v>
      </c>
    </row>
    <row r="20">
      <c r="A20" s="2" t="s">
        <v>48</v>
      </c>
      <c r="B20" s="2">
        <v>39405.0</v>
      </c>
      <c r="C20" s="25">
        <v>37290.1</v>
      </c>
      <c r="D20" s="25">
        <v>2114.9</v>
      </c>
      <c r="E20" s="7">
        <v>9110.9</v>
      </c>
      <c r="F20" s="2">
        <f t="shared" si="1"/>
        <v>48515.9</v>
      </c>
      <c r="H20" s="25">
        <v>95.915</v>
      </c>
      <c r="I20" s="2">
        <f>'ВВП (расходы)'!B24/(H20/100)</f>
        <v>2919647.605</v>
      </c>
      <c r="J20" s="2">
        <f>(I20/'ВВП (расходы)'!B23-1)*100</f>
        <v>6.253620325</v>
      </c>
      <c r="L20" s="2">
        <f t="shared" si="2"/>
        <v>5.367085395</v>
      </c>
      <c r="M20" s="25">
        <v>5.484</v>
      </c>
      <c r="N20" s="25">
        <f t="shared" si="3"/>
        <v>2.367085395</v>
      </c>
      <c r="O20" s="25">
        <f t="shared" si="4"/>
        <v>-0.05468598855</v>
      </c>
      <c r="P20" s="25">
        <f t="shared" si="5"/>
        <v>-36.56680031</v>
      </c>
      <c r="Q20" s="25">
        <f t="shared" si="6"/>
        <v>-86.61142495</v>
      </c>
      <c r="S20" s="2">
        <f>'Рынок труда'!F20/('Рынок труда'!F20+'Рынок труда'!E20)</f>
        <v>0.841898214</v>
      </c>
    </row>
    <row r="21">
      <c r="A21" s="2" t="s">
        <v>49</v>
      </c>
      <c r="B21" s="2">
        <v>39661.0</v>
      </c>
      <c r="C21" s="25">
        <v>37583.7</v>
      </c>
      <c r="D21" s="25">
        <v>2077.3</v>
      </c>
      <c r="E21" s="7">
        <v>8952.0</v>
      </c>
      <c r="F21" s="2">
        <f t="shared" si="1"/>
        <v>48613</v>
      </c>
      <c r="H21" s="25">
        <v>96.285</v>
      </c>
      <c r="I21" s="2">
        <f>'ВВП (расходы)'!B25/(H21/100)</f>
        <v>2977909.332</v>
      </c>
      <c r="J21" s="2">
        <f>(I21/'ВВП (расходы)'!B24-1)*100</f>
        <v>6.339472917</v>
      </c>
      <c r="L21" s="2">
        <f t="shared" si="2"/>
        <v>5.23763899</v>
      </c>
      <c r="M21" s="25">
        <v>4.991</v>
      </c>
      <c r="N21" s="25">
        <f t="shared" si="3"/>
        <v>2.23763899</v>
      </c>
      <c r="O21" s="25">
        <f t="shared" si="4"/>
        <v>-0.1164212149</v>
      </c>
      <c r="P21" s="25">
        <f t="shared" si="5"/>
        <v>-42.93618413</v>
      </c>
      <c r="Q21" s="25">
        <f t="shared" si="6"/>
        <v>-96.19210093</v>
      </c>
      <c r="S21" s="2">
        <f>'Рынок труда'!F21/('Рынок труда'!F21+'Рынок труда'!E21)</f>
        <v>0.8444888387</v>
      </c>
    </row>
    <row r="22" ht="15.75" customHeight="1">
      <c r="A22" s="2" t="s">
        <v>50</v>
      </c>
      <c r="B22" s="2">
        <v>39856.3</v>
      </c>
      <c r="C22" s="25">
        <v>37872.7</v>
      </c>
      <c r="D22" s="25">
        <v>1983.7</v>
      </c>
      <c r="E22" s="7">
        <v>8887.0</v>
      </c>
      <c r="F22" s="2">
        <f t="shared" si="1"/>
        <v>48743.4</v>
      </c>
      <c r="H22" s="25">
        <v>98.374</v>
      </c>
      <c r="I22" s="2">
        <f>'ВВП (расходы)'!B26/(H22/100)</f>
        <v>3034511.151</v>
      </c>
      <c r="J22" s="2">
        <f>(I22/'ВВП (расходы)'!B25-1)*100</f>
        <v>5.832396952</v>
      </c>
      <c r="L22" s="2">
        <f t="shared" si="2"/>
        <v>4.977130341</v>
      </c>
      <c r="M22" s="25">
        <v>4.551</v>
      </c>
      <c r="N22" s="25">
        <f t="shared" si="3"/>
        <v>1.977130341</v>
      </c>
      <c r="O22" s="25">
        <f t="shared" si="4"/>
        <v>-0.174487517</v>
      </c>
      <c r="P22" s="25">
        <f t="shared" si="5"/>
        <v>-54.98202324</v>
      </c>
      <c r="Q22" s="25">
        <f t="shared" si="6"/>
        <v>-108.8811139</v>
      </c>
      <c r="S22" s="2">
        <f>'Рынок труда'!F22/('Рынок труда'!F22+'Рынок труда'!E22)</f>
        <v>0.8457931925</v>
      </c>
    </row>
    <row r="23" ht="15.75" customHeight="1">
      <c r="A23" s="2" t="s">
        <v>51</v>
      </c>
      <c r="B23" s="2">
        <v>40000.9</v>
      </c>
      <c r="C23" s="25">
        <v>38147.9</v>
      </c>
      <c r="D23" s="25">
        <v>1852.9</v>
      </c>
      <c r="E23" s="7">
        <v>8928.9</v>
      </c>
      <c r="F23" s="2">
        <f t="shared" si="1"/>
        <v>48929.7</v>
      </c>
      <c r="H23" s="25">
        <v>100.0</v>
      </c>
      <c r="I23" s="2">
        <f>'ВВП (расходы)'!B27/(H23/100)</f>
        <v>3085650</v>
      </c>
      <c r="J23" s="2">
        <f>(I23/'ВВП (расходы)'!B26-1)*100</f>
        <v>3.365972457</v>
      </c>
      <c r="L23" s="2">
        <f t="shared" si="2"/>
        <v>4.632145777</v>
      </c>
      <c r="M23" s="25">
        <v>4.174</v>
      </c>
      <c r="N23" s="25">
        <f t="shared" si="3"/>
        <v>1.632145777</v>
      </c>
      <c r="O23" s="25">
        <f t="shared" si="4"/>
        <v>-0.3238448935</v>
      </c>
      <c r="P23" s="25">
        <f t="shared" si="5"/>
        <v>-78.69001649</v>
      </c>
      <c r="Q23" s="25">
        <f t="shared" si="6"/>
        <v>-128.757423</v>
      </c>
      <c r="S23" s="2">
        <f>'Рынок труда'!F23/('Рынок труда'!F23+'Рынок труда'!E23)</f>
        <v>0.84567722</v>
      </c>
    </row>
    <row r="24" ht="15.75" customHeight="1">
      <c r="A24" s="2" t="s">
        <v>52</v>
      </c>
      <c r="B24" s="2">
        <v>40740.0</v>
      </c>
      <c r="C24" s="25">
        <v>39068.2</v>
      </c>
      <c r="D24" s="25">
        <v>1671.8</v>
      </c>
      <c r="E24" s="7">
        <v>8952.0</v>
      </c>
      <c r="F24" s="2">
        <f t="shared" si="1"/>
        <v>49692</v>
      </c>
      <c r="H24" s="25">
        <v>102.295</v>
      </c>
      <c r="I24" s="2">
        <f>'ВВП (расходы)'!B28/(H24/100)</f>
        <v>3124404.907</v>
      </c>
      <c r="J24" s="2">
        <f>(I24/'ВВП (расходы)'!B27-1)*100</f>
        <v>1.255972238</v>
      </c>
      <c r="L24" s="2">
        <f t="shared" si="2"/>
        <v>4.103583702</v>
      </c>
      <c r="M24" s="25">
        <v>3.856</v>
      </c>
      <c r="N24" s="25">
        <f t="shared" si="3"/>
        <v>1.103583702</v>
      </c>
      <c r="O24" s="25">
        <f t="shared" si="4"/>
        <v>-0.3648084481</v>
      </c>
      <c r="P24" s="25">
        <f t="shared" si="5"/>
        <v>-132.3461344</v>
      </c>
      <c r="Q24" s="25">
        <f t="shared" si="6"/>
        <v>-146.4198453</v>
      </c>
      <c r="S24" s="2">
        <f>'Рынок труда'!F24/('Рынок труда'!F24+'Рынок труда'!E24)</f>
        <v>0.8473501125</v>
      </c>
    </row>
    <row r="25" ht="15.75" customHeight="1">
      <c r="A25" s="2" t="s">
        <v>53</v>
      </c>
      <c r="B25" s="2">
        <v>40899.9</v>
      </c>
      <c r="C25" s="25">
        <v>39386.2</v>
      </c>
      <c r="D25" s="25">
        <v>1513.7</v>
      </c>
      <c r="E25" s="7">
        <v>8822.7</v>
      </c>
      <c r="F25" s="2">
        <f t="shared" si="1"/>
        <v>49722.6</v>
      </c>
      <c r="H25" s="25">
        <v>105.073</v>
      </c>
      <c r="I25" s="2">
        <f>'ВВП (расходы)'!B29/(H25/100)</f>
        <v>3170281.614</v>
      </c>
      <c r="J25" s="2">
        <f>(I25/'ВВП (расходы)'!B28-1)*100</f>
        <v>-0.808119441</v>
      </c>
      <c r="L25" s="2">
        <f t="shared" si="2"/>
        <v>3.700987044</v>
      </c>
      <c r="M25" s="25">
        <v>3.616</v>
      </c>
      <c r="N25" s="25">
        <f t="shared" si="3"/>
        <v>0.700987044</v>
      </c>
      <c r="O25" s="25">
        <f t="shared" si="4"/>
        <v>-0.5016811822</v>
      </c>
      <c r="P25" s="25">
        <f t="shared" si="5"/>
        <v>-192.1874099</v>
      </c>
      <c r="Q25" s="25">
        <f t="shared" si="6"/>
        <v>-135.2225655</v>
      </c>
      <c r="S25" s="2">
        <f>'Рынок труда'!F25/('Рынок труда'!F25+'Рынок труда'!E25)</f>
        <v>0.8493013103</v>
      </c>
    </row>
    <row r="26" ht="15.75" customHeight="1">
      <c r="A26" s="2" t="s">
        <v>54</v>
      </c>
      <c r="B26" s="2">
        <v>40921.8</v>
      </c>
      <c r="C26" s="25">
        <v>39551.2</v>
      </c>
      <c r="D26" s="25">
        <v>1370.6</v>
      </c>
      <c r="E26" s="7">
        <v>8567.1</v>
      </c>
      <c r="F26" s="2">
        <f t="shared" si="1"/>
        <v>49488.9</v>
      </c>
      <c r="H26" s="25">
        <v>106.246</v>
      </c>
      <c r="I26" s="2">
        <f>'ВВП (расходы)'!B30/(H26/100)</f>
        <v>3229420.402</v>
      </c>
      <c r="J26" s="2">
        <f>(I26/'ВВП (расходы)'!B29-1)*100</f>
        <v>-3.052724116</v>
      </c>
      <c r="L26" s="2">
        <f t="shared" si="2"/>
        <v>3.349315035</v>
      </c>
      <c r="M26" s="25">
        <v>3.439</v>
      </c>
      <c r="N26" s="25">
        <f t="shared" si="3"/>
        <v>0.349315035</v>
      </c>
      <c r="O26" s="25">
        <f t="shared" si="4"/>
        <v>-0.7119529832</v>
      </c>
      <c r="P26" s="25">
        <f t="shared" si="5"/>
        <v>-211.2355164</v>
      </c>
      <c r="Q26" s="25">
        <f t="shared" si="6"/>
        <v>-74.49969478</v>
      </c>
      <c r="S26" s="2">
        <f>'Рынок труда'!F26/('Рынок труда'!F26+'Рынок труда'!E26)</f>
        <v>0.852433857</v>
      </c>
    </row>
    <row r="27" ht="15.75" customHeight="1">
      <c r="A27" s="2" t="s">
        <v>55</v>
      </c>
      <c r="B27" s="2">
        <v>41233.7</v>
      </c>
      <c r="C27" s="25">
        <v>39955.3</v>
      </c>
      <c r="D27" s="25">
        <v>1278.5</v>
      </c>
      <c r="E27" s="7">
        <v>8309.7</v>
      </c>
      <c r="F27" s="2">
        <f t="shared" si="1"/>
        <v>49543.5</v>
      </c>
      <c r="H27" s="25">
        <v>107.296</v>
      </c>
      <c r="I27" s="2">
        <f>'ВВП (расходы)'!B31/(H27/100)</f>
        <v>3294512.377</v>
      </c>
      <c r="J27" s="2">
        <f>(I27/'ВВП (расходы)'!B30-1)*100</f>
        <v>-3.981709321</v>
      </c>
      <c r="L27" s="2">
        <f t="shared" si="2"/>
        <v>3.100619154</v>
      </c>
      <c r="M27" s="25">
        <v>3.296</v>
      </c>
      <c r="N27" s="25">
        <f t="shared" si="3"/>
        <v>0.1006191538</v>
      </c>
      <c r="O27" s="25">
        <f t="shared" si="4"/>
        <v>6.932452426</v>
      </c>
      <c r="P27" s="25">
        <f t="shared" si="5"/>
        <v>-207.1654723</v>
      </c>
      <c r="Q27" s="25">
        <f t="shared" si="6"/>
        <v>-13.91236208</v>
      </c>
      <c r="S27" s="2">
        <f>'Рынок труда'!F27/('Рынок труда'!F27+'Рынок труда'!E27)</f>
        <v>0.8563657671</v>
      </c>
    </row>
    <row r="28" ht="15.75" customHeight="1">
      <c r="A28" s="2" t="s">
        <v>56</v>
      </c>
      <c r="B28" s="2">
        <v>40643.4</v>
      </c>
      <c r="C28" s="25">
        <v>39099.7</v>
      </c>
      <c r="D28" s="25">
        <v>1543.7</v>
      </c>
      <c r="E28" s="7">
        <v>8709.0</v>
      </c>
      <c r="F28" s="2">
        <f t="shared" si="1"/>
        <v>49352.4</v>
      </c>
      <c r="H28" s="25">
        <v>102.902</v>
      </c>
      <c r="I28" s="2">
        <f>'ВВП (расходы)'!B32/(H28/100)</f>
        <v>3352335.232</v>
      </c>
      <c r="J28" s="2">
        <f>(I28/'ВВП (расходы)'!B31-1)*100</f>
        <v>-5.164100858</v>
      </c>
      <c r="L28" s="2">
        <f t="shared" si="2"/>
        <v>3.79815665</v>
      </c>
      <c r="M28" s="25">
        <v>3.268</v>
      </c>
      <c r="N28" s="25">
        <f t="shared" si="3"/>
        <v>0.7981566503</v>
      </c>
      <c r="O28" s="25">
        <f t="shared" si="4"/>
        <v>-0.343118717</v>
      </c>
      <c r="P28" s="25">
        <f t="shared" si="5"/>
        <v>-256.0889686</v>
      </c>
      <c r="Q28" s="25">
        <f t="shared" si="6"/>
        <v>-204.742232</v>
      </c>
      <c r="S28" s="2">
        <f>'Рынок труда'!F28/('Рынок труда'!F28+'Рынок труда'!E28)</f>
        <v>0.8500036169</v>
      </c>
    </row>
    <row r="29" ht="15.75" customHeight="1">
      <c r="A29" s="2" t="s">
        <v>57</v>
      </c>
      <c r="B29" s="2">
        <v>39931.4</v>
      </c>
      <c r="C29" s="25">
        <v>38524.1</v>
      </c>
      <c r="D29" s="25">
        <v>1407.3</v>
      </c>
      <c r="E29" s="7">
        <v>8481.3</v>
      </c>
      <c r="F29" s="2">
        <f t="shared" si="1"/>
        <v>48412.7</v>
      </c>
      <c r="H29" s="25">
        <v>106.678</v>
      </c>
      <c r="I29" s="2">
        <f>'ВВП (расходы)'!B33/(H29/100)</f>
        <v>3446315.079</v>
      </c>
      <c r="J29" s="2">
        <f>(I29/'ВВП (расходы)'!B32-1)*100</f>
        <v>-0.09580536341</v>
      </c>
      <c r="L29" s="2">
        <f t="shared" si="2"/>
        <v>3.524294164</v>
      </c>
      <c r="M29" s="25">
        <v>3.23</v>
      </c>
      <c r="N29" s="25">
        <f t="shared" si="3"/>
        <v>0.5242941645</v>
      </c>
      <c r="O29" s="25">
        <f t="shared" si="4"/>
        <v>-0.899197778</v>
      </c>
      <c r="P29" s="25">
        <f t="shared" si="5"/>
        <v>-420.083215</v>
      </c>
      <c r="Q29" s="25">
        <f t="shared" si="6"/>
        <v>-221.146376</v>
      </c>
      <c r="S29" s="2">
        <f>'Рынок труда'!F29/('Рынок труда'!F29+'Рынок труда'!E29)</f>
        <v>0.8509280416</v>
      </c>
    </row>
    <row r="30" ht="15.75" customHeight="1">
      <c r="A30" s="2" t="s">
        <v>58</v>
      </c>
      <c r="B30" s="2">
        <v>40575.2</v>
      </c>
      <c r="C30" s="25">
        <v>39336.6</v>
      </c>
      <c r="D30" s="25">
        <v>1238.7</v>
      </c>
      <c r="E30" s="7">
        <v>8134.3</v>
      </c>
      <c r="F30" s="2">
        <f t="shared" si="1"/>
        <v>48709.6</v>
      </c>
      <c r="H30" s="25">
        <v>108.14</v>
      </c>
      <c r="I30" s="2">
        <f>'ВВП (расходы)'!B34/(H30/100)</f>
        <v>3656232.661</v>
      </c>
      <c r="J30" s="2">
        <f>(I30/'ВВП (расходы)'!B33-1)*100</f>
        <v>-0.5501851954</v>
      </c>
      <c r="L30" s="2">
        <f t="shared" si="2"/>
        <v>3.052850017</v>
      </c>
      <c r="M30" s="25">
        <v>3.185</v>
      </c>
      <c r="N30" s="25">
        <f t="shared" si="3"/>
        <v>0.05285001676</v>
      </c>
      <c r="O30" s="25">
        <f t="shared" si="4"/>
        <v>-0.9819782322</v>
      </c>
      <c r="P30" s="25">
        <f t="shared" si="5"/>
        <v>-709.0549607</v>
      </c>
      <c r="Q30" s="25">
        <f t="shared" si="6"/>
        <v>-38.45554479</v>
      </c>
      <c r="S30" s="2">
        <f>'Рынок труда'!F30/('Рынок труда'!F30+'Рынок труда'!E30)</f>
        <v>0.8569010923</v>
      </c>
      <c r="T30" s="31"/>
    </row>
    <row r="31" ht="15.75" customHeight="1">
      <c r="A31" s="2" t="s">
        <v>59</v>
      </c>
      <c r="B31" s="2">
        <v>40947.0</v>
      </c>
      <c r="C31" s="25">
        <v>39718.2</v>
      </c>
      <c r="D31" s="25">
        <v>1228.8</v>
      </c>
      <c r="E31" s="7">
        <v>8002.7</v>
      </c>
      <c r="F31" s="2">
        <f t="shared" si="1"/>
        <v>48949.7</v>
      </c>
      <c r="H31" s="25">
        <v>107.851</v>
      </c>
      <c r="I31" s="2">
        <f>'ВВП (расходы)'!B35/(H31/100)</f>
        <v>3880863.413</v>
      </c>
      <c r="J31" s="2">
        <f>(I31/'ВВП (расходы)'!B34-1)*100</f>
        <v>-1.845962457</v>
      </c>
      <c r="L31" s="2">
        <f t="shared" si="2"/>
        <v>3.000952451</v>
      </c>
      <c r="M31" s="25">
        <v>3.176</v>
      </c>
      <c r="N31" s="25">
        <f t="shared" si="3"/>
        <v>0.000952450729</v>
      </c>
      <c r="O31" s="25">
        <f t="shared" si="4"/>
        <v>334.4018006</v>
      </c>
      <c r="P31" s="25">
        <f t="shared" si="5"/>
        <v>-1053.062782</v>
      </c>
      <c r="Q31" s="25">
        <f t="shared" si="6"/>
        <v>333.3988101</v>
      </c>
      <c r="S31" s="2">
        <f>'Рынок труда'!F31/('Рынок труда'!F31+'Рынок труда'!E31)</f>
        <v>0.8594844115</v>
      </c>
    </row>
    <row r="32" ht="15.75" customHeight="1">
      <c r="A32" s="2" t="s">
        <v>60</v>
      </c>
      <c r="B32" s="2">
        <v>41163.4</v>
      </c>
      <c r="C32" s="25">
        <v>39797.0</v>
      </c>
      <c r="D32" s="25">
        <v>1366.4</v>
      </c>
      <c r="E32" s="7">
        <v>7788.3</v>
      </c>
      <c r="F32" s="2">
        <f t="shared" si="1"/>
        <v>48951.7</v>
      </c>
      <c r="H32" s="25">
        <v>107.594</v>
      </c>
      <c r="I32" s="2">
        <f>'ВВП (расходы)'!B36/(H32/100)</f>
        <v>4001394.13</v>
      </c>
      <c r="J32" s="2">
        <f>(I32/'ВВП (расходы)'!B35-1)*100</f>
        <v>-4.399800987</v>
      </c>
      <c r="L32" s="2">
        <f t="shared" si="2"/>
        <v>3.319453689</v>
      </c>
      <c r="M32" s="25">
        <v>3.174</v>
      </c>
      <c r="N32" s="25">
        <f t="shared" si="3"/>
        <v>0.3194536894</v>
      </c>
      <c r="O32" s="25">
        <f t="shared" si="4"/>
        <v>-1</v>
      </c>
      <c r="P32" s="25" t="str">
        <f t="shared" si="5"/>
        <v>#DIV/0!</v>
      </c>
      <c r="Q32" s="25" t="str">
        <f t="shared" si="6"/>
        <v>#DIV/0!</v>
      </c>
      <c r="S32" s="2">
        <f>'Рынок труда'!F32/('Рынок труда'!F32+'Рынок труда'!E32)</f>
        <v>0.8627370462</v>
      </c>
    </row>
    <row r="33" ht="15.75" customHeight="1">
      <c r="M33" s="25"/>
      <c r="N33" s="25"/>
      <c r="O33" s="25"/>
      <c r="P33" s="25"/>
      <c r="Q33" s="25"/>
    </row>
    <row r="34" ht="15.75" customHeight="1">
      <c r="M34" s="25">
        <f>3</f>
        <v>3</v>
      </c>
      <c r="N34" s="25"/>
      <c r="O34" s="25"/>
      <c r="P34" s="25"/>
      <c r="Q34" s="25"/>
    </row>
    <row r="35" ht="15.75" customHeight="1">
      <c r="M35" s="25"/>
      <c r="N35" s="25"/>
      <c r="O35" s="25"/>
      <c r="P35" s="25"/>
      <c r="Q35" s="25"/>
    </row>
    <row r="36" ht="15.75" customHeight="1">
      <c r="M36" s="25"/>
      <c r="N36" s="25"/>
      <c r="O36" s="25"/>
      <c r="P36" s="25"/>
      <c r="Q36" s="25"/>
    </row>
    <row r="37" ht="15.75" customHeight="1">
      <c r="M37" s="25"/>
      <c r="N37" s="25"/>
      <c r="O37" s="25"/>
      <c r="P37" s="25"/>
      <c r="Q37" s="25"/>
    </row>
    <row r="38" ht="15.75" customHeight="1">
      <c r="M38" s="25"/>
      <c r="N38" s="25"/>
      <c r="O38" s="25"/>
      <c r="P38" s="25"/>
      <c r="Q38" s="25"/>
    </row>
    <row r="39" ht="15.75" customHeight="1">
      <c r="M39" s="25"/>
      <c r="N39" s="25"/>
      <c r="O39" s="25"/>
      <c r="P39" s="25"/>
      <c r="Q39" s="25"/>
    </row>
    <row r="40" ht="15.75" customHeight="1">
      <c r="M40" s="25"/>
      <c r="N40" s="25"/>
      <c r="O40" s="25"/>
      <c r="P40" s="25"/>
      <c r="Q40" s="25"/>
    </row>
    <row r="41" ht="15.75" customHeight="1">
      <c r="M41" s="25"/>
      <c r="N41" s="25"/>
      <c r="O41" s="25"/>
      <c r="P41" s="25"/>
      <c r="Q41" s="25"/>
    </row>
    <row r="42" ht="15.75" customHeight="1">
      <c r="M42" s="25"/>
      <c r="N42" s="25"/>
      <c r="O42" s="25"/>
      <c r="P42" s="25"/>
      <c r="Q42" s="25"/>
    </row>
    <row r="43" ht="15.75" customHeight="1">
      <c r="M43" s="25"/>
      <c r="N43" s="25"/>
      <c r="O43" s="25"/>
      <c r="P43" s="25"/>
      <c r="Q43" s="25"/>
    </row>
    <row r="44" ht="15.75" customHeight="1">
      <c r="M44" s="25"/>
      <c r="N44" s="25"/>
      <c r="O44" s="25"/>
      <c r="P44" s="25"/>
      <c r="Q44" s="25"/>
    </row>
    <row r="45" ht="15.75" customHeight="1">
      <c r="M45" s="25"/>
      <c r="N45" s="25"/>
      <c r="O45" s="25"/>
      <c r="P45" s="25"/>
      <c r="Q45" s="25"/>
    </row>
    <row r="46" ht="15.75" customHeight="1">
      <c r="M46" s="25"/>
      <c r="N46" s="25"/>
      <c r="O46" s="25"/>
      <c r="P46" s="25"/>
      <c r="Q46" s="25"/>
    </row>
    <row r="47" ht="15.75" customHeight="1">
      <c r="M47" s="25"/>
      <c r="N47" s="25"/>
      <c r="O47" s="25"/>
      <c r="P47" s="25"/>
      <c r="Q47" s="25"/>
    </row>
    <row r="48" ht="15.75" customHeight="1">
      <c r="M48" s="25"/>
      <c r="N48" s="25"/>
      <c r="O48" s="25"/>
      <c r="P48" s="25"/>
      <c r="Q48" s="25"/>
    </row>
    <row r="49" ht="15.75" customHeight="1">
      <c r="M49" s="25"/>
      <c r="N49" s="25"/>
      <c r="O49" s="25"/>
      <c r="P49" s="25"/>
      <c r="Q49" s="25"/>
    </row>
    <row r="50" ht="15.75" customHeight="1">
      <c r="M50" s="25"/>
      <c r="N50" s="25"/>
      <c r="O50" s="25"/>
      <c r="P50" s="25"/>
      <c r="Q50" s="25"/>
    </row>
    <row r="51" ht="15.75" customHeight="1">
      <c r="M51" s="25"/>
      <c r="N51" s="25"/>
      <c r="O51" s="25"/>
      <c r="P51" s="25"/>
      <c r="Q51" s="25"/>
    </row>
    <row r="52" ht="15.75" customHeight="1">
      <c r="M52" s="25"/>
      <c r="N52" s="25"/>
      <c r="O52" s="25"/>
      <c r="P52" s="25"/>
      <c r="Q52" s="25"/>
    </row>
    <row r="53" ht="15.75" customHeight="1">
      <c r="M53" s="25"/>
      <c r="N53" s="25"/>
      <c r="O53" s="25"/>
      <c r="P53" s="25"/>
      <c r="Q53" s="25"/>
    </row>
    <row r="54" ht="15.75" customHeight="1">
      <c r="M54" s="25"/>
      <c r="N54" s="25"/>
      <c r="O54" s="25"/>
      <c r="P54" s="25"/>
      <c r="Q54" s="25"/>
    </row>
    <row r="55" ht="15.75" customHeight="1">
      <c r="M55" s="25"/>
      <c r="N55" s="25"/>
      <c r="O55" s="25"/>
      <c r="P55" s="25"/>
      <c r="Q55" s="25"/>
    </row>
    <row r="56" ht="15.75" customHeight="1">
      <c r="M56" s="25"/>
      <c r="N56" s="25"/>
      <c r="O56" s="25"/>
      <c r="P56" s="25"/>
      <c r="Q56" s="25"/>
    </row>
    <row r="57" ht="15.75" customHeight="1">
      <c r="M57" s="25"/>
      <c r="N57" s="25"/>
      <c r="O57" s="25"/>
      <c r="P57" s="25"/>
      <c r="Q57" s="25"/>
    </row>
    <row r="58" ht="15.75" customHeight="1">
      <c r="M58" s="25"/>
      <c r="N58" s="25"/>
      <c r="O58" s="25"/>
      <c r="P58" s="25"/>
      <c r="Q58" s="25"/>
    </row>
    <row r="59" ht="15.75" customHeight="1">
      <c r="M59" s="25"/>
      <c r="N59" s="25"/>
      <c r="O59" s="25"/>
      <c r="P59" s="25"/>
      <c r="Q59" s="25"/>
    </row>
    <row r="60" ht="15.75" customHeight="1">
      <c r="M60" s="25"/>
      <c r="N60" s="25"/>
      <c r="O60" s="25"/>
      <c r="P60" s="25"/>
      <c r="Q60" s="25"/>
    </row>
    <row r="61" ht="15.75" customHeight="1">
      <c r="M61" s="25"/>
      <c r="N61" s="25"/>
      <c r="O61" s="25"/>
      <c r="P61" s="25"/>
      <c r="Q61" s="25"/>
    </row>
    <row r="62" ht="15.75" customHeight="1">
      <c r="M62" s="25"/>
      <c r="N62" s="25"/>
      <c r="O62" s="25"/>
      <c r="P62" s="25"/>
      <c r="Q62" s="25"/>
    </row>
    <row r="63" ht="15.75" customHeight="1">
      <c r="M63" s="25"/>
      <c r="N63" s="25"/>
      <c r="O63" s="25"/>
      <c r="P63" s="25"/>
      <c r="Q63" s="25"/>
    </row>
    <row r="64" ht="15.75" customHeight="1">
      <c r="M64" s="25"/>
      <c r="N64" s="25"/>
      <c r="O64" s="25"/>
      <c r="P64" s="25"/>
      <c r="Q64" s="25"/>
    </row>
    <row r="65" ht="15.75" customHeight="1">
      <c r="M65" s="25"/>
      <c r="N65" s="25"/>
      <c r="O65" s="25"/>
      <c r="P65" s="25"/>
      <c r="Q65" s="25"/>
    </row>
    <row r="66" ht="15.75" customHeight="1">
      <c r="M66" s="25"/>
      <c r="N66" s="25"/>
      <c r="O66" s="25"/>
      <c r="P66" s="25"/>
      <c r="Q66" s="25"/>
    </row>
    <row r="67" ht="15.75" customHeight="1">
      <c r="M67" s="25"/>
      <c r="N67" s="25"/>
      <c r="O67" s="25"/>
      <c r="P67" s="25"/>
      <c r="Q67" s="25"/>
    </row>
    <row r="68" ht="15.75" customHeight="1">
      <c r="M68" s="25"/>
      <c r="N68" s="25"/>
      <c r="O68" s="25"/>
      <c r="P68" s="25"/>
      <c r="Q68" s="25"/>
    </row>
    <row r="69" ht="15.75" customHeight="1">
      <c r="M69" s="25"/>
      <c r="N69" s="25"/>
      <c r="O69" s="25"/>
      <c r="P69" s="25"/>
      <c r="Q69" s="25"/>
    </row>
    <row r="70" ht="15.75" customHeight="1">
      <c r="M70" s="25"/>
      <c r="N70" s="25"/>
      <c r="O70" s="25"/>
      <c r="P70" s="25"/>
      <c r="Q70" s="25"/>
    </row>
    <row r="71" ht="15.75" customHeight="1">
      <c r="M71" s="25"/>
      <c r="N71" s="25"/>
      <c r="O71" s="25"/>
      <c r="P71" s="25"/>
      <c r="Q71" s="25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6.0"/>
    <col customWidth="1" min="7" max="7" width="12.75"/>
    <col customWidth="1" min="9" max="9" width="13.13"/>
    <col customWidth="1" min="15" max="15" width="18.5"/>
    <col customWidth="1" min="23" max="23" width="17.5"/>
  </cols>
  <sheetData>
    <row r="1">
      <c r="A1" s="1" t="s">
        <v>11</v>
      </c>
      <c r="E1" s="7" t="s">
        <v>155</v>
      </c>
      <c r="H1" s="7"/>
      <c r="I1" s="32"/>
      <c r="K1" s="32" t="s">
        <v>156</v>
      </c>
      <c r="O1" s="1" t="s">
        <v>157</v>
      </c>
      <c r="W1" s="33" t="s">
        <v>158</v>
      </c>
      <c r="X1" s="33" t="s">
        <v>159</v>
      </c>
      <c r="Y1" s="33" t="s">
        <v>160</v>
      </c>
    </row>
    <row r="2">
      <c r="A2" s="1"/>
      <c r="B2" s="3" t="s">
        <v>161</v>
      </c>
      <c r="C2" s="1" t="s">
        <v>130</v>
      </c>
      <c r="D2" s="1" t="s">
        <v>162</v>
      </c>
      <c r="E2" s="3" t="s">
        <v>163</v>
      </c>
      <c r="F2" s="1" t="s">
        <v>164</v>
      </c>
      <c r="G2" s="1" t="s">
        <v>165</v>
      </c>
      <c r="H2" s="1" t="s">
        <v>166</v>
      </c>
      <c r="I2" s="1"/>
      <c r="J2" s="3"/>
      <c r="K2" s="3" t="s">
        <v>167</v>
      </c>
      <c r="L2" s="3" t="s">
        <v>168</v>
      </c>
      <c r="M2" s="3" t="s">
        <v>169</v>
      </c>
      <c r="N2" s="3" t="s">
        <v>170</v>
      </c>
      <c r="O2" s="3" t="s">
        <v>171</v>
      </c>
      <c r="P2" s="3" t="s">
        <v>172</v>
      </c>
      <c r="Q2" s="3" t="s">
        <v>173</v>
      </c>
      <c r="R2" s="3" t="s">
        <v>174</v>
      </c>
      <c r="S2" s="3" t="s">
        <v>175</v>
      </c>
      <c r="T2" s="3" t="s">
        <v>176</v>
      </c>
      <c r="U2" s="34" t="s">
        <v>177</v>
      </c>
      <c r="V2" s="3" t="s">
        <v>178</v>
      </c>
      <c r="W2" s="3" t="s">
        <v>179</v>
      </c>
      <c r="X2" s="3" t="s">
        <v>180</v>
      </c>
      <c r="Y2" s="3" t="s">
        <v>181</v>
      </c>
      <c r="Z2" s="3" t="s">
        <v>182</v>
      </c>
    </row>
    <row r="3">
      <c r="A3" s="2" t="s">
        <v>31</v>
      </c>
      <c r="B3" s="2">
        <v>2598408.1916092345</v>
      </c>
      <c r="C3" s="2">
        <f>'ГосБюджет'!R3</f>
        <v>65236.9</v>
      </c>
      <c r="D3" s="2">
        <f t="array" ref="D3:E3">LINEST(C3:C32, B3:B32, TRUE, FALSE)</f>
        <v>0.1399564231</v>
      </c>
      <c r="E3" s="2">
        <v>-283653.6910971705</v>
      </c>
      <c r="F3" s="2">
        <f>B3-C3+'ГосБюджет'!F3</f>
        <v>2911404.592</v>
      </c>
      <c r="G3" s="2">
        <f t="array" ref="G3:H3">LINEST('ВВП (расходы)'!C7:C36, 'ВВП (расходы)'!B7:B36, TRUE, FALSE)</f>
        <v>0.471213625</v>
      </c>
      <c r="H3" s="2">
        <v>200384.54180725449</v>
      </c>
      <c r="K3" s="25">
        <v>6.85054281702279</v>
      </c>
      <c r="L3" s="2">
        <f t="array" ref="L3:M3">LINEST('ВВП (расходы)'!F7:F36, K3:K32, TRUE, FALSE)</f>
        <v>550.9513117</v>
      </c>
      <c r="M3" s="2">
        <v>11636.132940624362</v>
      </c>
      <c r="N3" s="7">
        <v>3.358333</v>
      </c>
      <c r="O3" s="25">
        <v>7.2900833333333E11</v>
      </c>
      <c r="P3" s="2">
        <f>1/(1-$G$3*(1-D3)+I3)</f>
        <v>1.681419021</v>
      </c>
      <c r="Q3" s="7">
        <f>$H$3-$G$3*$E$3+$G$3*+'ГосБюджет'!F3+'ВВП (расходы)'!F7+'ВВП (расходы)'!D7+'ВВП (расходы)'!G7</f>
        <v>1347799.21</v>
      </c>
      <c r="R3" s="2">
        <f t="shared" ref="R3:R32" si="1">Q3*$P$3</f>
        <v>2266215.228</v>
      </c>
      <c r="S3" s="2">
        <f>('Рынок труда'!H3/100)</f>
        <v>0.76322</v>
      </c>
      <c r="V3" s="2">
        <f t="shared" ref="V3:V32" si="2">O3/S3</f>
        <v>955174567403</v>
      </c>
      <c r="W3" s="2">
        <f t="array" ref="W3:X3">LINEST(B3:B32,V3:V32,TRUE,FALSE)</f>
        <v>0.000000311135817</v>
      </c>
      <c r="X3" s="2">
        <v>2149703.257844731</v>
      </c>
      <c r="Y3" s="2">
        <f t="array" ref="Y3:Z3">LINEST(B3:B32,S3:S32,TRUE,FALSE)</f>
        <v>3617793.812</v>
      </c>
      <c r="Z3" s="2">
        <v>-437976.1982024389</v>
      </c>
    </row>
    <row r="4">
      <c r="A4" s="2" t="s">
        <v>32</v>
      </c>
      <c r="B4" s="2">
        <v>2561512.416520781</v>
      </c>
      <c r="C4" s="2">
        <f>'ГосБюджет'!R4</f>
        <v>46451.3</v>
      </c>
      <c r="F4" s="2">
        <f>B4-C4+'ГосБюджет'!F4</f>
        <v>2906008.817</v>
      </c>
      <c r="K4" s="25">
        <v>6.21537826037426</v>
      </c>
      <c r="N4" s="7">
        <v>6.575</v>
      </c>
      <c r="O4" s="25">
        <v>8.0499166666667E11</v>
      </c>
      <c r="Q4" s="7">
        <f>$H$3-$G$3*$E$3+$G$3*+'ГосБюджет'!F4+'ВВП (расходы)'!F8+'ВВП (расходы)'!D8+'ВВП (расходы)'!G8</f>
        <v>1361628.009</v>
      </c>
      <c r="R4" s="2">
        <f t="shared" si="1"/>
        <v>2289467.233</v>
      </c>
      <c r="S4" s="2">
        <f>('Рынок труда'!H4/100)</f>
        <v>0.77115</v>
      </c>
      <c r="T4" s="2">
        <f t="shared" ref="T4:T32" si="3">S4/S3-1</f>
        <v>0.01039018894</v>
      </c>
      <c r="U4" s="2">
        <f t="shared" ref="U4:U32" si="4"> ((1 + K4/100) / (1 + T4) - 1) * 100</f>
        <v>5.123129088</v>
      </c>
      <c r="V4" s="2">
        <f t="shared" si="2"/>
        <v>1043884674404</v>
      </c>
    </row>
    <row r="5">
      <c r="A5" s="2" t="s">
        <v>33</v>
      </c>
      <c r="B5" s="2">
        <v>2493629.8936915146</v>
      </c>
      <c r="C5" s="2">
        <f>'ГосБюджет'!R5</f>
        <v>39094.2</v>
      </c>
      <c r="F5" s="2">
        <f>B5-C5+'ГосБюджет'!F5</f>
        <v>2843658.194</v>
      </c>
      <c r="K5" s="35">
        <v>5.640137837</v>
      </c>
      <c r="N5" s="7">
        <v>8.633333</v>
      </c>
      <c r="O5" s="25">
        <v>8.72875E11</v>
      </c>
      <c r="Q5" s="7">
        <f>$H$3-$G$3*$E$3+$G$3*+'ГосБюджет'!F5+'ВВП (расходы)'!F9+'ВВП (расходы)'!D9+'ВВП (расходы)'!G9</f>
        <v>1400436.45</v>
      </c>
      <c r="R5" s="2">
        <f t="shared" si="1"/>
        <v>2354720.484</v>
      </c>
      <c r="S5" s="2">
        <f>('Рынок труда'!H5/100)</f>
        <v>0.78545</v>
      </c>
      <c r="T5" s="2">
        <f t="shared" si="3"/>
        <v>0.01854373339</v>
      </c>
      <c r="U5" s="2">
        <f t="shared" si="4"/>
        <v>3.716840401</v>
      </c>
      <c r="V5" s="2">
        <f t="shared" si="2"/>
        <v>1111305620982</v>
      </c>
    </row>
    <row r="6">
      <c r="A6" s="2" t="s">
        <v>34</v>
      </c>
      <c r="B6" s="2">
        <v>2504835.455350351</v>
      </c>
      <c r="C6" s="2">
        <f>'ГосБюджет'!R6</f>
        <v>54774.6</v>
      </c>
      <c r="F6" s="2">
        <f>B6-C6+'ГосБюджет'!F6</f>
        <v>2842855.255</v>
      </c>
      <c r="K6" s="25">
        <v>4.57380122407468</v>
      </c>
      <c r="N6" s="7">
        <v>8.7</v>
      </c>
      <c r="O6" s="25">
        <v>9.3063333333333E11</v>
      </c>
      <c r="Q6" s="7">
        <f>$H$3-$G$3*$E$3+$G$3*+'ГосБюджет'!F6+'ВВП (расходы)'!F10+'ВВП (расходы)'!D10+'ВВП (расходы)'!G10</f>
        <v>1448950.099</v>
      </c>
      <c r="R6" s="2">
        <f t="shared" si="1"/>
        <v>2436292.257</v>
      </c>
      <c r="S6" s="2">
        <f>('Рынок труда'!H6/100)</f>
        <v>0.80191</v>
      </c>
      <c r="T6" s="2">
        <f t="shared" si="3"/>
        <v>0.02095613979</v>
      </c>
      <c r="U6" s="2">
        <f t="shared" si="4"/>
        <v>2.427319988</v>
      </c>
      <c r="V6" s="2">
        <f t="shared" si="2"/>
        <v>1160520922963</v>
      </c>
    </row>
    <row r="7">
      <c r="A7" s="2" t="s">
        <v>35</v>
      </c>
      <c r="B7" s="2">
        <v>2536312.576312576</v>
      </c>
      <c r="C7" s="2">
        <f>'ГосБюджет'!R7</f>
        <v>74324</v>
      </c>
      <c r="F7" s="2">
        <f>B7-C7+'ГосБюджет'!F7</f>
        <v>2870222.576</v>
      </c>
      <c r="K7" s="25">
        <v>4.49060971929164</v>
      </c>
      <c r="N7" s="7">
        <v>12.60833</v>
      </c>
      <c r="O7" s="2">
        <f t="shared" ref="O7:O32" si="5">O6*(1+N8/100)</f>
        <v>1004153366667</v>
      </c>
      <c r="Q7" s="7">
        <f>$H$3-$G$3*$E$3+$G$3*+'ГосБюджет'!F7+'ВВП (расходы)'!F11+'ВВП (расходы)'!D11+'ВВП (расходы)'!G11</f>
        <v>1493921.449</v>
      </c>
      <c r="R7" s="2">
        <f t="shared" si="1"/>
        <v>2511907.94</v>
      </c>
      <c r="S7" s="2">
        <f>('Рынок труда'!H7/100)</f>
        <v>0.819</v>
      </c>
      <c r="T7" s="2">
        <f t="shared" si="3"/>
        <v>0.02131161851</v>
      </c>
      <c r="U7" s="2">
        <f t="shared" si="4"/>
        <v>2.31021348</v>
      </c>
      <c r="V7" s="2">
        <f t="shared" si="2"/>
        <v>1226072486772</v>
      </c>
    </row>
    <row r="8">
      <c r="A8" s="2" t="s">
        <v>36</v>
      </c>
      <c r="B8" s="2">
        <v>2527606.3425750094</v>
      </c>
      <c r="C8" s="2">
        <f>'ГосБюджет'!R8</f>
        <v>89560</v>
      </c>
      <c r="F8" s="2">
        <f>B8-C8+'ГосБюджет'!F8</f>
        <v>2848859.343</v>
      </c>
      <c r="K8" s="25">
        <v>5.26395865459653</v>
      </c>
      <c r="N8" s="7">
        <v>7.9</v>
      </c>
      <c r="O8" s="2">
        <f t="shared" si="5"/>
        <v>1042896947383</v>
      </c>
      <c r="Q8" s="7">
        <f>$H$3-$G$3*$E$3+$G$3*+'ГосБюджет'!F8+'ВВП (расходы)'!F12+'ВВП (расходы)'!D12+'ВВП (расходы)'!G12</f>
        <v>1596711.709</v>
      </c>
      <c r="R8" s="2">
        <f t="shared" si="1"/>
        <v>2684741.438</v>
      </c>
      <c r="S8" s="2">
        <f>('Рынок труда'!H8/100)</f>
        <v>0.84256</v>
      </c>
      <c r="T8" s="2">
        <f t="shared" si="3"/>
        <v>0.02876678877</v>
      </c>
      <c r="U8" s="2">
        <f t="shared" si="4"/>
        <v>2.320525705</v>
      </c>
      <c r="V8" s="2">
        <f t="shared" si="2"/>
        <v>1237771728284</v>
      </c>
    </row>
    <row r="9">
      <c r="A9" s="2" t="s">
        <v>37</v>
      </c>
      <c r="B9" s="2">
        <v>2563823.203129561</v>
      </c>
      <c r="C9" s="2">
        <f>'ГосБюджет'!R9</f>
        <v>56700</v>
      </c>
      <c r="F9" s="2">
        <f>B9-C9+'ГосБюджет'!F9</f>
        <v>2929612.203</v>
      </c>
      <c r="K9" s="25">
        <v>4.81230109956749</v>
      </c>
      <c r="N9" s="7">
        <v>3.858333</v>
      </c>
      <c r="O9" s="2">
        <f t="shared" si="5"/>
        <v>1123982185042</v>
      </c>
      <c r="Q9" s="7">
        <f>$H$3-$G$3*$E$3+$G$3*+'ГосБюджет'!F9+'ВВП (расходы)'!F13+'ВВП (расходы)'!D13+'ВВП (расходы)'!G13</f>
        <v>1653555.599</v>
      </c>
      <c r="R9" s="2">
        <f t="shared" si="1"/>
        <v>2780319.836</v>
      </c>
      <c r="S9" s="2">
        <f>('Рынок труда'!H9/100)</f>
        <v>0.85635</v>
      </c>
      <c r="T9" s="2">
        <f t="shared" si="3"/>
        <v>0.01636678694</v>
      </c>
      <c r="U9" s="2">
        <f t="shared" si="4"/>
        <v>3.124484632</v>
      </c>
      <c r="V9" s="2">
        <f t="shared" si="2"/>
        <v>1312526636355</v>
      </c>
    </row>
    <row r="10">
      <c r="A10" s="2" t="s">
        <v>38</v>
      </c>
      <c r="B10" s="2">
        <v>2602277.6483807163</v>
      </c>
      <c r="C10" s="2">
        <f>'ГосБюджет'!R10</f>
        <v>39443</v>
      </c>
      <c r="F10" s="2">
        <f>B10-C10+'ГосБюджет'!F10</f>
        <v>2999078.648</v>
      </c>
      <c r="K10" s="25">
        <v>4.78357959512307</v>
      </c>
      <c r="N10" s="7">
        <v>7.775</v>
      </c>
      <c r="O10" s="2">
        <f t="shared" si="5"/>
        <v>1247432857567</v>
      </c>
      <c r="Q10" s="7">
        <f>$H$3-$G$3*$E$3+$G$3*+'ГосБюджет'!F10+'ВВП (расходы)'!F14+'ВВП (расходы)'!D14+'ВВП (расходы)'!G14</f>
        <v>1673345.142</v>
      </c>
      <c r="R10" s="2">
        <f t="shared" si="1"/>
        <v>2813594.351</v>
      </c>
      <c r="S10" s="2">
        <f>('Рынок труда'!H10/100)</f>
        <v>0.85439</v>
      </c>
      <c r="T10" s="2">
        <f t="shared" si="3"/>
        <v>-0.002288783792</v>
      </c>
      <c r="U10" s="2">
        <f t="shared" si="4"/>
        <v>5.023956725</v>
      </c>
      <c r="V10" s="2">
        <f t="shared" si="2"/>
        <v>1460027455339</v>
      </c>
    </row>
    <row r="11">
      <c r="A11" s="2" t="s">
        <v>39</v>
      </c>
      <c r="B11" s="2">
        <v>2636650.31122407</v>
      </c>
      <c r="C11" s="2">
        <f>'ГосБюджет'!R11</f>
        <v>32232</v>
      </c>
      <c r="F11" s="2">
        <f>B11-C11+'ГосБюджет'!F11</f>
        <v>3054333.311</v>
      </c>
      <c r="K11" s="25">
        <v>4.07114252198348</v>
      </c>
      <c r="N11" s="7">
        <v>10.98333</v>
      </c>
      <c r="O11" s="2">
        <f t="shared" si="5"/>
        <v>1371864285109</v>
      </c>
      <c r="Q11" s="7">
        <f>$H$3-$G$3*$E$3+$G$3*+'ГосБюджет'!F11+'ВВП (расходы)'!F15+'ВВП (расходы)'!D15+'ВВП (расходы)'!G15</f>
        <v>1692281.104</v>
      </c>
      <c r="R11" s="2">
        <f t="shared" si="1"/>
        <v>2845433.637</v>
      </c>
      <c r="S11" s="2">
        <f>('Рынок труда'!H11/100)</f>
        <v>0.84987</v>
      </c>
      <c r="T11" s="2">
        <f t="shared" si="3"/>
        <v>-0.005290324091</v>
      </c>
      <c r="U11" s="2">
        <f t="shared" si="4"/>
        <v>4.62464078</v>
      </c>
      <c r="V11" s="2">
        <f t="shared" si="2"/>
        <v>1614204860872</v>
      </c>
    </row>
    <row r="12">
      <c r="A12" s="2" t="s">
        <v>40</v>
      </c>
      <c r="B12" s="2">
        <v>2667131.9236048106</v>
      </c>
      <c r="C12" s="2">
        <f>'ГосБюджет'!R12</f>
        <v>31650</v>
      </c>
      <c r="F12" s="2">
        <f>B12-C12+'ГосБюджет'!F12</f>
        <v>3086119.924</v>
      </c>
      <c r="K12" s="25">
        <v>4.03715565593826</v>
      </c>
      <c r="N12" s="7">
        <v>9.975</v>
      </c>
      <c r="O12" s="2">
        <f t="shared" si="5"/>
        <v>1515910035046</v>
      </c>
      <c r="Q12" s="7">
        <f>$H$3-$G$3*$E$3+$G$3*+'ГосБюджет'!F12+'ВВП (расходы)'!F16+'ВВП (расходы)'!D16+'ВВП (расходы)'!G16</f>
        <v>1765721.791</v>
      </c>
      <c r="R12" s="2">
        <f t="shared" si="1"/>
        <v>2968918.206</v>
      </c>
      <c r="S12" s="2">
        <f>('Рынок труда'!H12/100)</f>
        <v>0.85974</v>
      </c>
      <c r="T12" s="2">
        <f t="shared" si="3"/>
        <v>0.01161354089</v>
      </c>
      <c r="U12" s="2">
        <f t="shared" si="4"/>
        <v>2.842786746</v>
      </c>
      <c r="V12" s="2">
        <f t="shared" si="2"/>
        <v>1763219153518</v>
      </c>
    </row>
    <row r="13">
      <c r="A13" s="2" t="s">
        <v>41</v>
      </c>
      <c r="B13" s="2">
        <v>2681366.4453052944</v>
      </c>
      <c r="C13" s="2">
        <f>'ГосБюджет'!R13</f>
        <v>40614</v>
      </c>
      <c r="F13" s="2">
        <f>B13-C13+'ГосБюджет'!F13</f>
        <v>3095350.445</v>
      </c>
      <c r="K13" s="25">
        <v>4.85449476406956</v>
      </c>
      <c r="N13" s="7">
        <v>10.5</v>
      </c>
      <c r="O13" s="2">
        <f t="shared" si="5"/>
        <v>1644636067241</v>
      </c>
      <c r="Q13" s="7">
        <f>$H$3-$G$3*$E$3+$G$3*+'ГосБюджет'!F13+'ВВП (расходы)'!F17+'ВВП (расходы)'!D17+'ВВП (расходы)'!G17</f>
        <v>1824078.797</v>
      </c>
      <c r="R13" s="2">
        <f t="shared" si="1"/>
        <v>3067040.785</v>
      </c>
      <c r="S13" s="2">
        <f>('Рынок труда'!H13/100)</f>
        <v>0.86736</v>
      </c>
      <c r="T13" s="2">
        <f t="shared" si="3"/>
        <v>0.008863144672</v>
      </c>
      <c r="U13" s="2">
        <f t="shared" si="4"/>
        <v>3.933318724</v>
      </c>
      <c r="V13" s="2">
        <f t="shared" si="2"/>
        <v>1896140088592</v>
      </c>
    </row>
    <row r="14">
      <c r="A14" s="2" t="s">
        <v>42</v>
      </c>
      <c r="B14" s="2">
        <v>2693361.456483126</v>
      </c>
      <c r="C14" s="2">
        <f>'ГосБюджет'!R14</f>
        <v>81864</v>
      </c>
      <c r="F14" s="2">
        <f>B14-C14+'ГосБюджет'!F14</f>
        <v>3063078.456</v>
      </c>
      <c r="K14" s="25">
        <v>3.76412531864906</v>
      </c>
      <c r="N14" s="7">
        <v>8.491667</v>
      </c>
      <c r="O14" s="2">
        <f t="shared" si="5"/>
        <v>1748385187001</v>
      </c>
      <c r="Q14" s="7">
        <f>$H$3-$G$3*$E$3+$G$3*+'ГосБюджет'!F14+'ВВП (расходы)'!F18+'ВВП (расходы)'!D18+'ВВП (расходы)'!G18</f>
        <v>1950625.146</v>
      </c>
      <c r="R14" s="2">
        <f t="shared" si="1"/>
        <v>3279818.223</v>
      </c>
      <c r="S14" s="2">
        <f>('Рынок труда'!H14/100)</f>
        <v>0.9008</v>
      </c>
      <c r="T14" s="2">
        <f t="shared" si="3"/>
        <v>0.03855377237</v>
      </c>
      <c r="U14" s="2">
        <f t="shared" si="4"/>
        <v>-0.08786441343</v>
      </c>
      <c r="V14" s="2">
        <f t="shared" si="2"/>
        <v>1940924941164</v>
      </c>
    </row>
    <row r="15">
      <c r="A15" s="2" t="s">
        <v>43</v>
      </c>
      <c r="B15" s="2">
        <v>2742889.819170515</v>
      </c>
      <c r="C15" s="2">
        <f>'ГосБюджет'!R15</f>
        <v>136991</v>
      </c>
      <c r="F15" s="2">
        <f>B15-C15+'ГосБюджет'!F15</f>
        <v>3051377.819</v>
      </c>
      <c r="K15" s="25">
        <v>4.21695500351864</v>
      </c>
      <c r="N15" s="7">
        <v>6.308333</v>
      </c>
      <c r="O15" s="2">
        <f t="shared" si="5"/>
        <v>1789617931833</v>
      </c>
      <c r="Q15" s="7">
        <f>$H$3-$G$3*$E$3+$G$3*+'ГосБюджет'!F15+'ВВП (расходы)'!F19+'ВВП (расходы)'!D19+'ВВП (расходы)'!G19</f>
        <v>2061247.8</v>
      </c>
      <c r="R15" s="2">
        <f t="shared" si="1"/>
        <v>3465821.258</v>
      </c>
      <c r="S15" s="2">
        <f>('Рынок труда'!H15/100)</f>
        <v>0.92684</v>
      </c>
      <c r="T15" s="2">
        <f t="shared" si="3"/>
        <v>0.02890763766</v>
      </c>
      <c r="U15" s="2">
        <f t="shared" si="4"/>
        <v>1.28893128</v>
      </c>
      <c r="V15" s="2">
        <f t="shared" si="2"/>
        <v>1930881200459</v>
      </c>
    </row>
    <row r="16">
      <c r="A16" s="2" t="s">
        <v>44</v>
      </c>
      <c r="B16" s="2">
        <v>2768911.651180942</v>
      </c>
      <c r="C16" s="2">
        <f>'ГосБюджет'!R16</f>
        <v>148979</v>
      </c>
      <c r="F16" s="2">
        <f>B16-C16+'ГосБюджет'!F16</f>
        <v>3073069.651</v>
      </c>
      <c r="K16" s="25">
        <v>3.98476822449734</v>
      </c>
      <c r="N16" s="7">
        <v>2.358333</v>
      </c>
      <c r="O16" s="2">
        <f t="shared" si="5"/>
        <v>1965000489153</v>
      </c>
      <c r="Q16" s="7">
        <f>$H$3-$G$3*$E$3+$G$3*+'ГосБюджет'!F16+'ВВП (расходы)'!F20+'ВВП (расходы)'!D20+'ВВП (расходы)'!G20</f>
        <v>2107385.354</v>
      </c>
      <c r="R16" s="2">
        <f t="shared" si="1"/>
        <v>3543397.819</v>
      </c>
      <c r="S16" s="2">
        <f>('Рынок труда'!H16/100)</f>
        <v>0.93527</v>
      </c>
      <c r="T16" s="2">
        <f t="shared" si="3"/>
        <v>0.009095421</v>
      </c>
      <c r="U16" s="2">
        <f t="shared" si="4"/>
        <v>3.047507758</v>
      </c>
      <c r="V16" s="2">
        <f t="shared" si="2"/>
        <v>2100998095900</v>
      </c>
    </row>
    <row r="17">
      <c r="A17" s="2" t="s">
        <v>45</v>
      </c>
      <c r="B17" s="2">
        <v>2824136.01838331</v>
      </c>
      <c r="C17" s="2">
        <f>'ГосБюджет'!R17</f>
        <v>98137</v>
      </c>
      <c r="F17" s="2">
        <f>B17-C17+'ГосБюджет'!F17</f>
        <v>3200675.018</v>
      </c>
      <c r="K17" s="25">
        <v>3.2222178304787</v>
      </c>
      <c r="N17" s="7">
        <v>9.8</v>
      </c>
      <c r="O17" s="2">
        <f t="shared" si="5"/>
        <v>2128914286506</v>
      </c>
      <c r="Q17" s="7">
        <f>$H$3-$G$3*$E$3+$G$3*+'ГосБюджет'!F17+'ВВП (расходы)'!F21+'ВВП (расходы)'!D21+'ВВП (расходы)'!G21</f>
        <v>1920890.824</v>
      </c>
      <c r="R17" s="2">
        <f t="shared" si="1"/>
        <v>3229822.369</v>
      </c>
      <c r="S17" s="2">
        <f>('Рынок труда'!H17/100)</f>
        <v>0.88341</v>
      </c>
      <c r="T17" s="2">
        <f t="shared" si="3"/>
        <v>-0.05544922857</v>
      </c>
      <c r="U17" s="2">
        <f t="shared" si="4"/>
        <v>9.281809885</v>
      </c>
      <c r="V17" s="2">
        <f t="shared" si="2"/>
        <v>2409882485489</v>
      </c>
    </row>
    <row r="18">
      <c r="A18" s="2" t="s">
        <v>46</v>
      </c>
      <c r="B18" s="2">
        <v>2843388.946252921</v>
      </c>
      <c r="C18" s="2">
        <f>'ГосБюджет'!R18</f>
        <v>89269</v>
      </c>
      <c r="F18" s="2">
        <f>B18-C18+'ГосБюджет'!F18</f>
        <v>3237117.946</v>
      </c>
      <c r="K18" s="25">
        <v>2.74426737875651</v>
      </c>
      <c r="N18" s="7">
        <v>8.341667</v>
      </c>
      <c r="O18" s="2">
        <f t="shared" si="5"/>
        <v>2172557029380</v>
      </c>
      <c r="Q18" s="7">
        <f>$H$3-$G$3*$E$3+$G$3*+'ГосБюджет'!F18+'ВВП (расходы)'!F22+'ВВП (расходы)'!D22+'ВВП (расходы)'!G22</f>
        <v>2116389.264</v>
      </c>
      <c r="R18" s="2">
        <f t="shared" si="1"/>
        <v>3558537.165</v>
      </c>
      <c r="S18" s="2">
        <f>('Рынок труда'!H18/100)</f>
        <v>0.92005</v>
      </c>
      <c r="T18" s="2">
        <f t="shared" si="3"/>
        <v>0.04147564551</v>
      </c>
      <c r="U18" s="2">
        <f t="shared" si="4"/>
        <v>-1.347412374</v>
      </c>
      <c r="V18" s="2">
        <f t="shared" si="2"/>
        <v>2361346697875</v>
      </c>
    </row>
    <row r="19">
      <c r="A19" s="2" t="s">
        <v>47</v>
      </c>
      <c r="B19" s="2">
        <v>2878433.3033039323</v>
      </c>
      <c r="C19" s="2">
        <f>'ГосБюджет'!R19</f>
        <v>141643</v>
      </c>
      <c r="F19" s="2">
        <f>B19-C19+'ГосБюджет'!F19</f>
        <v>3214675.303</v>
      </c>
      <c r="K19" s="25">
        <v>2.60918499146417</v>
      </c>
      <c r="N19" s="7">
        <v>2.05</v>
      </c>
      <c r="O19" s="2">
        <f t="shared" si="5"/>
        <v>2263261285356</v>
      </c>
      <c r="Q19" s="7">
        <f>$H$3-$G$3*$E$3+$G$3*+'ГосБюджет'!F19+'ВВП (расходы)'!F23+'ВВП (расходы)'!D23+'ВВП (расходы)'!G23</f>
        <v>2262045.949</v>
      </c>
      <c r="R19" s="2">
        <f t="shared" si="1"/>
        <v>3803447.085</v>
      </c>
      <c r="S19" s="2">
        <f>('Рынок труда'!H19/100)</f>
        <v>0.95462</v>
      </c>
      <c r="T19" s="2">
        <f t="shared" si="3"/>
        <v>0.03757404489</v>
      </c>
      <c r="U19" s="2">
        <f t="shared" si="4"/>
        <v>-1.106638609</v>
      </c>
      <c r="V19" s="2">
        <f t="shared" si="2"/>
        <v>2370850480145</v>
      </c>
    </row>
    <row r="20">
      <c r="A20" s="2" t="s">
        <v>48</v>
      </c>
      <c r="B20" s="2">
        <v>2919647.6046499503</v>
      </c>
      <c r="C20" s="2">
        <f>'ГосБюджет'!R20</f>
        <v>159367</v>
      </c>
      <c r="F20" s="2">
        <f>B20-C20+'ГосБюджет'!F20</f>
        <v>3247234.605</v>
      </c>
      <c r="K20" s="25">
        <v>1.49513021099501</v>
      </c>
      <c r="N20" s="7">
        <v>4.175</v>
      </c>
      <c r="O20" s="2">
        <f t="shared" si="5"/>
        <v>2421123760010</v>
      </c>
      <c r="Q20" s="7">
        <f>$H$3-$G$3*$E$3+$G$3*+'ГосБюджет'!F20+'ВВП (расходы)'!F24+'ВВП (расходы)'!D24+'ВВП (расходы)'!G24</f>
        <v>2284540.385</v>
      </c>
      <c r="R20" s="2">
        <f t="shared" si="1"/>
        <v>3841269.658</v>
      </c>
      <c r="S20" s="2">
        <f>('Рынок труда'!H20/100)</f>
        <v>0.95915</v>
      </c>
      <c r="T20" s="2">
        <f t="shared" si="3"/>
        <v>0.004745343697</v>
      </c>
      <c r="U20" s="2">
        <f t="shared" si="4"/>
        <v>1.015775637</v>
      </c>
      <c r="V20" s="2">
        <f t="shared" si="2"/>
        <v>2524238919887</v>
      </c>
    </row>
    <row r="21">
      <c r="A21" s="2" t="s">
        <v>49</v>
      </c>
      <c r="B21" s="2">
        <v>2977909.3316715998</v>
      </c>
      <c r="C21" s="2">
        <f>'ГосБюджет'!R21</f>
        <v>167153</v>
      </c>
      <c r="F21" s="2">
        <f>B21-C21+'ГосБюджет'!F21</f>
        <v>3314594.332</v>
      </c>
      <c r="K21" s="25">
        <v>1.57140800604388</v>
      </c>
      <c r="N21" s="7">
        <v>6.975</v>
      </c>
      <c r="O21" s="2">
        <f t="shared" si="5"/>
        <v>2566189433367</v>
      </c>
      <c r="Q21" s="7">
        <f>$H$3-$G$3*$E$3+$G$3*+'ГосБюджет'!F21+'ВВП (расходы)'!F25+'ВВП (расходы)'!D25+'ВВП (расходы)'!G25</f>
        <v>2335048.356</v>
      </c>
      <c r="R21" s="2">
        <f t="shared" si="1"/>
        <v>3926194.721</v>
      </c>
      <c r="S21" s="2">
        <f>('Рынок труда'!H21/100)</f>
        <v>0.96285</v>
      </c>
      <c r="T21" s="2">
        <f t="shared" si="3"/>
        <v>0.003857582234</v>
      </c>
      <c r="U21" s="2">
        <f t="shared" si="4"/>
        <v>1.181093617</v>
      </c>
      <c r="V21" s="2">
        <f t="shared" si="2"/>
        <v>2665201675617</v>
      </c>
    </row>
    <row r="22">
      <c r="A22" s="2" t="s">
        <v>50</v>
      </c>
      <c r="B22" s="2">
        <v>3034511.151320471</v>
      </c>
      <c r="C22" s="2">
        <f>'ГосБюджет'!R22</f>
        <v>182553</v>
      </c>
      <c r="F22" s="2">
        <f>B22-C22+'ГосБюджет'!F22</f>
        <v>3366183.151</v>
      </c>
      <c r="K22" s="25">
        <v>1.16347229074003</v>
      </c>
      <c r="N22" s="7">
        <v>5.991667</v>
      </c>
      <c r="O22" s="2">
        <f t="shared" si="5"/>
        <v>2837777729526</v>
      </c>
      <c r="Q22" s="7">
        <f>$H$3-$G$3*$E$3+$G$3*+'ГосБюджет'!F22+'ВВП (расходы)'!F26+'ВВП (расходы)'!D26+'ВВП (расходы)'!G26</f>
        <v>2415565.852</v>
      </c>
      <c r="R22" s="2">
        <f t="shared" si="1"/>
        <v>4061578.37</v>
      </c>
      <c r="S22" s="2">
        <f>('Рынок труда'!H22/100)</f>
        <v>0.98374</v>
      </c>
      <c r="T22" s="2">
        <f t="shared" si="3"/>
        <v>0.02169600665</v>
      </c>
      <c r="U22" s="2">
        <f t="shared" si="4"/>
        <v>-0.9847629504</v>
      </c>
      <c r="V22" s="2">
        <f t="shared" si="2"/>
        <v>2884682669736</v>
      </c>
    </row>
    <row r="23">
      <c r="A23" s="2" t="s">
        <v>51</v>
      </c>
      <c r="B23" s="2">
        <v>3085650.0</v>
      </c>
      <c r="C23" s="2">
        <f>'ГосБюджет'!R23</f>
        <v>192493</v>
      </c>
      <c r="F23" s="2">
        <f>B23-C23+'ГосБюджет'!F23</f>
        <v>3428426</v>
      </c>
      <c r="K23" s="25">
        <v>0.49519367547657</v>
      </c>
      <c r="N23" s="7">
        <v>10.58333</v>
      </c>
      <c r="O23" s="2">
        <f t="shared" si="5"/>
        <v>3096251974931</v>
      </c>
      <c r="Q23" s="7">
        <f>$H$3-$G$3*$E$3+$G$3*+'ГосБюджет'!F23+'ВВП (расходы)'!F27+'ВВП (расходы)'!D27+'ВВП (расходы)'!G27</f>
        <v>2497742.072</v>
      </c>
      <c r="R23" s="2">
        <f t="shared" si="1"/>
        <v>4199751.029</v>
      </c>
      <c r="S23" s="2">
        <f>('Рынок труда'!H23/100)</f>
        <v>1</v>
      </c>
      <c r="T23" s="2">
        <f t="shared" si="3"/>
        <v>0.0165287576</v>
      </c>
      <c r="U23" s="2">
        <f t="shared" si="4"/>
        <v>-1.138858174</v>
      </c>
      <c r="V23" s="2">
        <f t="shared" si="2"/>
        <v>3096251974931</v>
      </c>
    </row>
    <row r="24">
      <c r="A24" s="2" t="s">
        <v>52</v>
      </c>
      <c r="B24" s="2">
        <v>3124404.907375727</v>
      </c>
      <c r="C24" s="2">
        <f>'ГосБюджет'!R24</f>
        <v>208656</v>
      </c>
      <c r="F24" s="2">
        <f>B24-C24+'ГосБюджет'!F24</f>
        <v>3470315.907</v>
      </c>
      <c r="K24" s="25">
        <v>0.0914991922328879</v>
      </c>
      <c r="N24" s="7">
        <v>9.108333</v>
      </c>
      <c r="O24" s="2">
        <f t="shared" si="5"/>
        <v>3380333093631</v>
      </c>
      <c r="Q24" s="7">
        <f>$H$3-$G$3*$E$3+$G$3*+'ГосБюджет'!F24+'ВВП (расходы)'!F28+'ВВП (расходы)'!D28+'ВВП (расходы)'!G28</f>
        <v>2549904.552</v>
      </c>
      <c r="R24" s="2">
        <f t="shared" si="1"/>
        <v>4287458.016</v>
      </c>
      <c r="S24" s="2">
        <f>('Рынок труда'!H24/100)</f>
        <v>1.02295</v>
      </c>
      <c r="T24" s="2">
        <f t="shared" si="3"/>
        <v>0.02295</v>
      </c>
      <c r="U24" s="2">
        <f t="shared" si="4"/>
        <v>-2.154065016</v>
      </c>
      <c r="V24" s="2">
        <f t="shared" si="2"/>
        <v>3304494934875</v>
      </c>
    </row>
    <row r="25">
      <c r="A25" s="2" t="s">
        <v>53</v>
      </c>
      <c r="B25" s="2">
        <v>3170281.613735213</v>
      </c>
      <c r="C25" s="2">
        <f>'ГосБюджет'!R25</f>
        <v>225205</v>
      </c>
      <c r="F25" s="2">
        <f>B25-C25+'ГосБюджет'!F25</f>
        <v>3519164.614</v>
      </c>
      <c r="K25" s="25">
        <v>0.316336113807796</v>
      </c>
      <c r="N25" s="7">
        <v>9.175</v>
      </c>
      <c r="O25" s="2">
        <f t="shared" si="5"/>
        <v>3627660809583</v>
      </c>
      <c r="Q25" s="7">
        <f>$H$3-$G$3*$E$3+$G$3*+'ГосБюджет'!F25+'ВВП (расходы)'!F29+'ВВП (расходы)'!D29+'ВВП (расходы)'!G29</f>
        <v>2684713.113</v>
      </c>
      <c r="R25" s="2">
        <f t="shared" si="1"/>
        <v>4514127.695</v>
      </c>
      <c r="S25" s="2">
        <f>('Рынок труда'!H25/100)</f>
        <v>1.05073</v>
      </c>
      <c r="T25" s="2">
        <f t="shared" si="3"/>
        <v>0.02715675253</v>
      </c>
      <c r="U25" s="2">
        <f t="shared" si="4"/>
        <v>-2.335903584</v>
      </c>
      <c r="V25" s="2">
        <f t="shared" si="2"/>
        <v>3452514736976</v>
      </c>
    </row>
    <row r="26">
      <c r="A26" s="2" t="s">
        <v>54</v>
      </c>
      <c r="B26" s="2">
        <v>3229420.401709241</v>
      </c>
      <c r="C26" s="2">
        <f>'ГосБюджет'!R26</f>
        <v>237394</v>
      </c>
      <c r="F26" s="2">
        <f>B26-C26+'ГосБюджет'!F26</f>
        <v>3587511.402</v>
      </c>
      <c r="K26" s="25">
        <v>0.396363981890516</v>
      </c>
      <c r="N26" s="7">
        <v>7.316667</v>
      </c>
      <c r="O26" s="2">
        <f t="shared" si="5"/>
        <v>3903363031111</v>
      </c>
      <c r="Q26" s="7">
        <f>$H$3-$G$3*$E$3+$G$3*+'ГосБюджет'!F26+'ВВП (расходы)'!F30+'ВВП (расходы)'!D30+'ВВП (расходы)'!G30</f>
        <v>2778888.671</v>
      </c>
      <c r="R26" s="2">
        <f t="shared" si="1"/>
        <v>4672476.269</v>
      </c>
      <c r="S26" s="2">
        <f>('Рынок труда'!H26/100)</f>
        <v>1.06246</v>
      </c>
      <c r="T26" s="2">
        <f t="shared" si="3"/>
        <v>0.01116366716</v>
      </c>
      <c r="U26" s="2">
        <f t="shared" si="4"/>
        <v>-0.7120536051</v>
      </c>
      <c r="V26" s="2">
        <f t="shared" si="2"/>
        <v>3673891752264</v>
      </c>
    </row>
    <row r="27">
      <c r="A27" s="2" t="s">
        <v>55</v>
      </c>
      <c r="B27" s="2">
        <v>3294512.3769758423</v>
      </c>
      <c r="C27" s="2">
        <f>'ГосБюджет'!R27</f>
        <v>233896</v>
      </c>
      <c r="F27" s="2">
        <f>B27-C27+'ГосБюджет'!F27</f>
        <v>3685994.377</v>
      </c>
      <c r="K27" s="25">
        <v>-0.253634457795785</v>
      </c>
      <c r="N27" s="7">
        <v>7.6</v>
      </c>
      <c r="O27" s="2">
        <f t="shared" si="5"/>
        <v>4387380046969</v>
      </c>
      <c r="Q27" s="7">
        <f>$H$3-$G$3*$E$3+$G$3*+'ГосБюджет'!F27+'ВВП (расходы)'!F31+'ВВП (расходы)'!D31+'ВВП (расходы)'!G31</f>
        <v>2849259.66</v>
      </c>
      <c r="R27" s="2">
        <f t="shared" si="1"/>
        <v>4790799.388</v>
      </c>
      <c r="S27" s="2">
        <f>('Рынок труда'!H27/100)</f>
        <v>1.07296</v>
      </c>
      <c r="T27" s="2">
        <f t="shared" si="3"/>
        <v>0.009882724997</v>
      </c>
      <c r="U27" s="2">
        <f t="shared" si="4"/>
        <v>-1.22975364</v>
      </c>
      <c r="V27" s="2">
        <f t="shared" si="2"/>
        <v>4089043437750</v>
      </c>
    </row>
    <row r="28">
      <c r="A28" s="2" t="s">
        <v>56</v>
      </c>
      <c r="B28" s="2">
        <v>3352335.231579561</v>
      </c>
      <c r="C28" s="2">
        <f>'ГосБюджет'!R28</f>
        <v>130881</v>
      </c>
      <c r="F28" s="2">
        <f>B28-C28+'ГосБюджет'!F28</f>
        <v>3899476.232</v>
      </c>
      <c r="K28" s="25">
        <v>-0.511024005583788</v>
      </c>
      <c r="N28" s="7">
        <v>12.4</v>
      </c>
      <c r="O28" s="2">
        <f t="shared" si="5"/>
        <v>4928856014011</v>
      </c>
      <c r="Q28" s="7">
        <f>$H$3-$G$3*$E$3+$G$3*+'ГосБюджет'!F28+'ВВП (расходы)'!F32+'ВВП (расходы)'!D32+'ВВП (расходы)'!G32</f>
        <v>2784716.23</v>
      </c>
      <c r="R28" s="2">
        <f t="shared" si="1"/>
        <v>4682274.837</v>
      </c>
      <c r="S28" s="2">
        <f>('Рынок труда'!H28/100)</f>
        <v>1.02902</v>
      </c>
      <c r="T28" s="2">
        <f t="shared" si="3"/>
        <v>-0.04095213242</v>
      </c>
      <c r="U28" s="2">
        <f t="shared" si="4"/>
        <v>3.737237063</v>
      </c>
      <c r="V28" s="2">
        <f t="shared" si="2"/>
        <v>4789854438214</v>
      </c>
    </row>
    <row r="29">
      <c r="A29" s="2" t="s">
        <v>57</v>
      </c>
      <c r="B29" s="2">
        <v>3446315.0790228536</v>
      </c>
      <c r="C29" s="2">
        <f>'ГосБюджет'!R29</f>
        <v>210603</v>
      </c>
      <c r="F29" s="2">
        <f>B29-C29+'ГосБюджет'!F29</f>
        <v>3932465.079</v>
      </c>
      <c r="K29" s="25">
        <v>-0.373821169772257</v>
      </c>
      <c r="N29" s="7">
        <v>12.34167</v>
      </c>
      <c r="O29" s="2">
        <f t="shared" si="5"/>
        <v>5246356505343</v>
      </c>
      <c r="Q29" s="7">
        <f>$H$3-$G$3*$E$3+$G$3*+'ГосБюджет'!F29+'ВВП (расходы)'!F33+'ВВП (расходы)'!D33+'ВВП (расходы)'!G33</f>
        <v>3097418.533</v>
      </c>
      <c r="R29" s="2">
        <f t="shared" si="1"/>
        <v>5208058.437</v>
      </c>
      <c r="S29" s="2">
        <f>('Рынок труда'!H29/100)</f>
        <v>1.06678</v>
      </c>
      <c r="T29" s="2">
        <f t="shared" si="3"/>
        <v>0.03669510797</v>
      </c>
      <c r="U29" s="2">
        <f t="shared" si="4"/>
        <v>-3.900213221</v>
      </c>
      <c r="V29" s="2">
        <f t="shared" si="2"/>
        <v>4917936692986</v>
      </c>
    </row>
    <row r="30">
      <c r="A30" s="2" t="s">
        <v>58</v>
      </c>
      <c r="B30" s="2">
        <v>3656232.6613648976</v>
      </c>
      <c r="C30" s="2">
        <f>'ГосБюджет'!R30</f>
        <v>244746</v>
      </c>
      <c r="F30" s="2">
        <f>B30-C30+'ГосБюджет'!F30</f>
        <v>4136722.661</v>
      </c>
      <c r="K30" s="25">
        <v>1.14258298496571</v>
      </c>
      <c r="N30" s="7">
        <v>6.441667</v>
      </c>
      <c r="O30" s="2">
        <f t="shared" si="5"/>
        <v>4863372480453</v>
      </c>
      <c r="Q30" s="7">
        <f>$H$3-$G$3*$E$3+$G$3*+'ГосБюджет'!F30+'ВВП (расходы)'!F34+'ВВП (расходы)'!D34+'ВВП (расходы)'!G34</f>
        <v>3407660.11</v>
      </c>
      <c r="R30" s="2">
        <f t="shared" si="1"/>
        <v>5729704.526</v>
      </c>
      <c r="S30" s="2">
        <f>('Рынок труда'!H30/100)</f>
        <v>1.0814</v>
      </c>
      <c r="T30" s="2">
        <f t="shared" si="3"/>
        <v>0.01370479387</v>
      </c>
      <c r="U30" s="2">
        <f t="shared" si="4"/>
        <v>-0.2248153535</v>
      </c>
      <c r="V30" s="2">
        <f t="shared" si="2"/>
        <v>4497292843031</v>
      </c>
    </row>
    <row r="31">
      <c r="A31" s="2" t="s">
        <v>59</v>
      </c>
      <c r="B31" s="2">
        <v>3880863.413412949</v>
      </c>
      <c r="C31" s="2">
        <f>'ГосБюджет'!R31</f>
        <v>218034</v>
      </c>
      <c r="F31" s="2">
        <f>B31-C31+'ГосБюджет'!F31</f>
        <v>4411677.413</v>
      </c>
      <c r="K31" s="25">
        <v>2.43459870594911</v>
      </c>
      <c r="N31" s="7">
        <v>-7.3</v>
      </c>
      <c r="O31" s="2">
        <f t="shared" si="5"/>
        <v>4699638778166</v>
      </c>
      <c r="Q31" s="7">
        <f>$H$3-$G$3*$E$3+$G$3*+'ГосБюджет'!F31+'ВВП (расходы)'!F35+'ВВП (расходы)'!D35+'ВВП (расходы)'!G35</f>
        <v>3415926.406</v>
      </c>
      <c r="R31" s="2">
        <f t="shared" si="1"/>
        <v>5743603.634</v>
      </c>
      <c r="S31" s="2">
        <f>('Рынок труда'!H31/100)</f>
        <v>1.07851</v>
      </c>
      <c r="T31" s="2">
        <f t="shared" si="3"/>
        <v>-0.002672461624</v>
      </c>
      <c r="U31" s="2">
        <f t="shared" si="4"/>
        <v>2.709084793</v>
      </c>
      <c r="V31" s="2">
        <f t="shared" si="2"/>
        <v>4357529163536</v>
      </c>
    </row>
    <row r="32">
      <c r="A32" s="2" t="s">
        <v>60</v>
      </c>
      <c r="B32" s="2">
        <v>4001394.129784189</v>
      </c>
      <c r="C32" s="2">
        <f>'ГосБюджет'!R32</f>
        <v>170339</v>
      </c>
      <c r="F32" s="2">
        <f>B32-C32+'ГосБюджет'!F32</f>
        <v>4624498.13</v>
      </c>
      <c r="K32" s="25">
        <v>2.32108411234498</v>
      </c>
      <c r="N32" s="7">
        <v>-3.36667</v>
      </c>
      <c r="O32" s="2">
        <f t="shared" si="5"/>
        <v>4699638778166</v>
      </c>
      <c r="Q32" s="7">
        <f>$H$3-$G$3*$E$3+$G$3*+'ГосБюджет'!F32+'ВВП (расходы)'!F36+'ВВП (расходы)'!D36+'ВВП (расходы)'!G36</f>
        <v>3474968.178</v>
      </c>
      <c r="R32" s="2">
        <f t="shared" si="1"/>
        <v>5842877.592</v>
      </c>
      <c r="S32" s="2">
        <f>('Рынок труда'!H32/100)</f>
        <v>1.07594</v>
      </c>
      <c r="T32" s="2">
        <f t="shared" si="3"/>
        <v>-0.002382917173</v>
      </c>
      <c r="U32" s="2">
        <f t="shared" si="4"/>
        <v>2.565489178</v>
      </c>
      <c r="V32" s="2">
        <f t="shared" si="2"/>
        <v>4367937597046</v>
      </c>
    </row>
    <row r="37">
      <c r="C37" s="2" t="str">
        <f>'ГосБюджет'!R33</f>
        <v/>
      </c>
    </row>
    <row r="38">
      <c r="C38" s="2" t="str">
        <f>'ГосБюджет'!R34</f>
        <v/>
      </c>
    </row>
    <row r="39">
      <c r="C39" s="2" t="str">
        <f>'ГосБюджет'!R35</f>
        <v/>
      </c>
    </row>
    <row r="40">
      <c r="C40" s="2" t="str">
        <f>'ГосБюджет'!R36</f>
        <v/>
      </c>
    </row>
  </sheetData>
  <mergeCells count="1">
    <mergeCell ref="I1:J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4.63"/>
    <col customWidth="1" min="2" max="6" width="11.13"/>
    <col customWidth="1" min="7" max="7" width="12.0"/>
    <col customWidth="1" min="8" max="127" width="11.13"/>
  </cols>
  <sheetData>
    <row r="1">
      <c r="A1" s="36" t="s">
        <v>162</v>
      </c>
      <c r="B1" s="36" t="s">
        <v>183</v>
      </c>
      <c r="C1" s="37">
        <v>1996.0</v>
      </c>
      <c r="D1" s="37">
        <v>1997.0</v>
      </c>
      <c r="E1" s="37">
        <v>1998.0</v>
      </c>
      <c r="F1" s="37">
        <v>1999.0</v>
      </c>
      <c r="G1" s="37">
        <v>2000.0</v>
      </c>
      <c r="H1" s="37">
        <v>2001.0</v>
      </c>
      <c r="I1" s="37">
        <v>2002.0</v>
      </c>
      <c r="J1" s="37">
        <v>2003.0</v>
      </c>
      <c r="K1" s="37">
        <v>2004.0</v>
      </c>
      <c r="L1" s="37">
        <v>2005.0</v>
      </c>
      <c r="M1" s="37">
        <v>2006.0</v>
      </c>
      <c r="N1" s="37">
        <v>2007.0</v>
      </c>
      <c r="O1" s="37">
        <v>2008.0</v>
      </c>
      <c r="P1" s="37">
        <v>2009.0</v>
      </c>
      <c r="Q1" s="37">
        <v>2010.0</v>
      </c>
      <c r="R1" s="37">
        <v>2011.0</v>
      </c>
      <c r="S1" s="37">
        <v>2012.0</v>
      </c>
      <c r="T1" s="37">
        <v>2013.0</v>
      </c>
      <c r="U1" s="37">
        <v>2014.0</v>
      </c>
      <c r="V1" s="37">
        <v>2015.0</v>
      </c>
      <c r="W1" s="37">
        <v>2016.0</v>
      </c>
      <c r="X1" s="37">
        <v>2017.0</v>
      </c>
      <c r="Y1" s="37">
        <v>2018.0</v>
      </c>
      <c r="Z1" s="37">
        <v>2019.0</v>
      </c>
      <c r="AA1" s="37">
        <v>2020.0</v>
      </c>
      <c r="AB1" s="37">
        <v>2021.0</v>
      </c>
      <c r="AC1" s="37">
        <v>2022.0</v>
      </c>
      <c r="AD1" s="37">
        <v>2023.0</v>
      </c>
      <c r="AE1" s="37">
        <v>2024.0</v>
      </c>
      <c r="AF1" s="37">
        <v>2025.0</v>
      </c>
      <c r="AG1" s="37">
        <v>2026.0</v>
      </c>
      <c r="AH1" s="37">
        <v>2027.0</v>
      </c>
      <c r="AI1" s="37">
        <v>2028.0</v>
      </c>
      <c r="AJ1" s="37">
        <v>2029.0</v>
      </c>
      <c r="AK1" s="37">
        <v>2030.0</v>
      </c>
      <c r="AL1" s="37">
        <v>2031.0</v>
      </c>
      <c r="AM1" s="37">
        <v>2032.0</v>
      </c>
      <c r="AN1" s="37">
        <v>2033.0</v>
      </c>
      <c r="AO1" s="37">
        <v>2034.0</v>
      </c>
      <c r="AP1" s="37">
        <v>2035.0</v>
      </c>
      <c r="AQ1" s="37">
        <v>2036.0</v>
      </c>
      <c r="AR1" s="37">
        <v>2037.0</v>
      </c>
      <c r="AS1" s="37">
        <v>2038.0</v>
      </c>
      <c r="AT1" s="37">
        <v>2039.0</v>
      </c>
      <c r="AU1" s="37">
        <v>2040.0</v>
      </c>
      <c r="AV1" s="37">
        <v>2041.0</v>
      </c>
      <c r="AW1" s="37">
        <v>2042.0</v>
      </c>
      <c r="AX1" s="37">
        <v>2043.0</v>
      </c>
      <c r="AY1" s="37">
        <v>2044.0</v>
      </c>
      <c r="AZ1" s="37">
        <v>2045.0</v>
      </c>
      <c r="BA1" s="37">
        <v>2046.0</v>
      </c>
      <c r="BB1" s="37">
        <v>2047.0</v>
      </c>
      <c r="BC1" s="37">
        <v>2048.0</v>
      </c>
      <c r="BD1" s="37">
        <v>2049.0</v>
      </c>
      <c r="BE1" s="37">
        <v>2050.0</v>
      </c>
      <c r="BF1" s="37">
        <v>2051.0</v>
      </c>
      <c r="BG1" s="37">
        <v>2052.0</v>
      </c>
      <c r="BH1" s="37">
        <v>2053.0</v>
      </c>
      <c r="BI1" s="37">
        <v>2054.0</v>
      </c>
      <c r="BJ1" s="37">
        <v>2055.0</v>
      </c>
      <c r="BK1" s="37">
        <v>2056.0</v>
      </c>
      <c r="BL1" s="37">
        <v>2057.0</v>
      </c>
      <c r="BM1" s="37">
        <v>2058.0</v>
      </c>
      <c r="BN1" s="37">
        <v>2059.0</v>
      </c>
      <c r="BO1" s="37">
        <v>2060.0</v>
      </c>
      <c r="BP1" s="37">
        <v>2061.0</v>
      </c>
      <c r="BQ1" s="37">
        <v>2062.0</v>
      </c>
      <c r="BR1" s="37">
        <v>2063.0</v>
      </c>
      <c r="BS1" s="37">
        <v>2064.0</v>
      </c>
      <c r="BT1" s="37">
        <v>2065.0</v>
      </c>
      <c r="BU1" s="37">
        <v>2066.0</v>
      </c>
      <c r="BV1" s="37">
        <v>2067.0</v>
      </c>
      <c r="BW1" s="37">
        <v>2068.0</v>
      </c>
      <c r="BX1" s="37">
        <v>2069.0</v>
      </c>
      <c r="BY1" s="37">
        <v>2070.0</v>
      </c>
      <c r="BZ1" s="37">
        <v>2071.0</v>
      </c>
      <c r="CA1" s="37">
        <v>2072.0</v>
      </c>
      <c r="CB1" s="37">
        <v>2073.0</v>
      </c>
      <c r="CC1" s="37">
        <v>2074.0</v>
      </c>
      <c r="CD1" s="37">
        <v>2075.0</v>
      </c>
      <c r="CE1" s="37">
        <v>2076.0</v>
      </c>
      <c r="CF1" s="37">
        <v>2077.0</v>
      </c>
      <c r="CG1" s="37">
        <v>2078.0</v>
      </c>
      <c r="CH1" s="37">
        <v>2079.0</v>
      </c>
      <c r="CI1" s="37">
        <v>2080.0</v>
      </c>
      <c r="CJ1" s="37">
        <v>2081.0</v>
      </c>
      <c r="CK1" s="37">
        <v>2082.0</v>
      </c>
      <c r="CL1" s="37">
        <v>2083.0</v>
      </c>
      <c r="CM1" s="37">
        <v>2084.0</v>
      </c>
      <c r="CN1" s="37">
        <v>2085.0</v>
      </c>
      <c r="CO1" s="37">
        <v>2086.0</v>
      </c>
      <c r="CP1" s="37">
        <v>2087.0</v>
      </c>
      <c r="CQ1" s="37">
        <v>2088.0</v>
      </c>
      <c r="CR1" s="37">
        <v>2089.0</v>
      </c>
      <c r="CS1" s="37">
        <v>2090.0</v>
      </c>
      <c r="CT1" s="37">
        <v>2091.0</v>
      </c>
      <c r="CU1" s="37">
        <v>2092.0</v>
      </c>
      <c r="CV1" s="37">
        <v>2093.0</v>
      </c>
      <c r="CW1" s="37">
        <v>2094.0</v>
      </c>
      <c r="CX1" s="37">
        <v>2095.0</v>
      </c>
      <c r="CY1" s="37">
        <v>2096.0</v>
      </c>
      <c r="CZ1" s="37">
        <v>2097.0</v>
      </c>
      <c r="DA1" s="37">
        <v>2098.0</v>
      </c>
      <c r="DB1" s="37">
        <v>2099.0</v>
      </c>
      <c r="DC1" s="37">
        <v>2100.0</v>
      </c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</row>
    <row r="2">
      <c r="A2" s="39" t="s">
        <v>174</v>
      </c>
      <c r="B2" s="40"/>
      <c r="C2" s="41">
        <f>C10</f>
        <v>2561512.417</v>
      </c>
      <c r="D2" s="41">
        <f t="shared" ref="D2:DC2" si="1">D6*(D3^$B$8)*(D5^$B$9)</f>
        <v>2579213.474</v>
      </c>
      <c r="E2" s="41">
        <f t="shared" si="1"/>
        <v>2596015.399</v>
      </c>
      <c r="F2" s="41">
        <f t="shared" si="1"/>
        <v>2630715.282</v>
      </c>
      <c r="G2" s="41">
        <f t="shared" si="1"/>
        <v>2641466.216</v>
      </c>
      <c r="H2" s="41">
        <f t="shared" si="1"/>
        <v>2669680.638</v>
      </c>
      <c r="I2" s="41">
        <f t="shared" si="1"/>
        <v>2689955.86</v>
      </c>
      <c r="J2" s="41">
        <f t="shared" si="1"/>
        <v>2715826.785</v>
      </c>
      <c r="K2" s="41">
        <f t="shared" si="1"/>
        <v>2727774.663</v>
      </c>
      <c r="L2" s="41">
        <f t="shared" si="1"/>
        <v>2788575.709</v>
      </c>
      <c r="M2" s="41">
        <f t="shared" si="1"/>
        <v>2825910.801</v>
      </c>
      <c r="N2" s="41">
        <f t="shared" si="1"/>
        <v>2848005.72</v>
      </c>
      <c r="O2" s="41">
        <f t="shared" si="1"/>
        <v>2873024.577</v>
      </c>
      <c r="P2" s="41">
        <f t="shared" si="1"/>
        <v>2900305.103</v>
      </c>
      <c r="Q2" s="41">
        <f t="shared" si="1"/>
        <v>2887497.347</v>
      </c>
      <c r="R2" s="41">
        <f t="shared" si="1"/>
        <v>2924057.01</v>
      </c>
      <c r="S2" s="41">
        <f t="shared" si="1"/>
        <v>2958511.566</v>
      </c>
      <c r="T2" s="41">
        <f t="shared" si="1"/>
        <v>2997908.909</v>
      </c>
      <c r="U2" s="41">
        <f t="shared" si="1"/>
        <v>3034893.987</v>
      </c>
      <c r="V2" s="41">
        <f t="shared" si="1"/>
        <v>3071397.406</v>
      </c>
      <c r="W2" s="41">
        <f t="shared" si="1"/>
        <v>3139073.922</v>
      </c>
      <c r="X2" s="41">
        <f t="shared" si="1"/>
        <v>3179870.911</v>
      </c>
      <c r="Y2" s="41">
        <f t="shared" si="1"/>
        <v>3215213.429</v>
      </c>
      <c r="Z2" s="41">
        <f t="shared" si="1"/>
        <v>3268946.845</v>
      </c>
      <c r="AA2" s="41">
        <f t="shared" si="1"/>
        <v>3278316.742</v>
      </c>
      <c r="AB2" s="41">
        <f t="shared" si="1"/>
        <v>3282039.856</v>
      </c>
      <c r="AC2" s="41">
        <f t="shared" si="1"/>
        <v>3359331.716</v>
      </c>
      <c r="AD2" s="41">
        <f t="shared" si="1"/>
        <v>3428476.932</v>
      </c>
      <c r="AE2" s="41">
        <f t="shared" si="1"/>
        <v>3493177.898</v>
      </c>
      <c r="AF2" s="41">
        <f t="shared" si="1"/>
        <v>3559802.874</v>
      </c>
      <c r="AG2" s="41">
        <f t="shared" si="1"/>
        <v>3608080.963</v>
      </c>
      <c r="AH2" s="41">
        <f t="shared" si="1"/>
        <v>3645834.243</v>
      </c>
      <c r="AI2" s="41">
        <f t="shared" si="1"/>
        <v>3680618.359</v>
      </c>
      <c r="AJ2" s="41">
        <f t="shared" si="1"/>
        <v>3711762.493</v>
      </c>
      <c r="AK2" s="41">
        <f t="shared" si="1"/>
        <v>3740794.784</v>
      </c>
      <c r="AL2" s="41">
        <f t="shared" si="1"/>
        <v>3768606.602</v>
      </c>
      <c r="AM2" s="41">
        <f t="shared" si="1"/>
        <v>3795056.022</v>
      </c>
      <c r="AN2" s="41">
        <f t="shared" si="1"/>
        <v>3823671.604</v>
      </c>
      <c r="AO2" s="41">
        <f t="shared" si="1"/>
        <v>3851858.67</v>
      </c>
      <c r="AP2" s="41">
        <f t="shared" si="1"/>
        <v>3882971.274</v>
      </c>
      <c r="AQ2" s="41">
        <f t="shared" si="1"/>
        <v>3916348.401</v>
      </c>
      <c r="AR2" s="41">
        <f t="shared" si="1"/>
        <v>3956056.463</v>
      </c>
      <c r="AS2" s="41">
        <f t="shared" si="1"/>
        <v>4001254.452</v>
      </c>
      <c r="AT2" s="41">
        <f t="shared" si="1"/>
        <v>4050919.181</v>
      </c>
      <c r="AU2" s="41">
        <f t="shared" si="1"/>
        <v>4106541.162</v>
      </c>
      <c r="AV2" s="41">
        <f t="shared" si="1"/>
        <v>4167275.483</v>
      </c>
      <c r="AW2" s="41">
        <f t="shared" si="1"/>
        <v>4229026.773</v>
      </c>
      <c r="AX2" s="41">
        <f t="shared" si="1"/>
        <v>4292450.387</v>
      </c>
      <c r="AY2" s="41">
        <f t="shared" si="1"/>
        <v>4356540.301</v>
      </c>
      <c r="AZ2" s="41">
        <f t="shared" si="1"/>
        <v>4417765.845</v>
      </c>
      <c r="BA2" s="41">
        <f t="shared" si="1"/>
        <v>4481032.81</v>
      </c>
      <c r="BB2" s="41">
        <f t="shared" si="1"/>
        <v>4544499.375</v>
      </c>
      <c r="BC2" s="41">
        <f t="shared" si="1"/>
        <v>4605658.594</v>
      </c>
      <c r="BD2" s="41">
        <f t="shared" si="1"/>
        <v>4667506.436</v>
      </c>
      <c r="BE2" s="41">
        <f t="shared" si="1"/>
        <v>4729170.77</v>
      </c>
      <c r="BF2" s="41">
        <f t="shared" si="1"/>
        <v>4792317.386</v>
      </c>
      <c r="BG2" s="41">
        <f t="shared" si="1"/>
        <v>4855780.982</v>
      </c>
      <c r="BH2" s="41">
        <f t="shared" si="1"/>
        <v>4918949.479</v>
      </c>
      <c r="BI2" s="41">
        <f t="shared" si="1"/>
        <v>4980337.018</v>
      </c>
      <c r="BJ2" s="41">
        <f t="shared" si="1"/>
        <v>5040470.645</v>
      </c>
      <c r="BK2" s="41">
        <f t="shared" si="1"/>
        <v>5098648.674</v>
      </c>
      <c r="BL2" s="41">
        <f t="shared" si="1"/>
        <v>5158396.855</v>
      </c>
      <c r="BM2" s="41">
        <f t="shared" si="1"/>
        <v>5217086.954</v>
      </c>
      <c r="BN2" s="41">
        <f t="shared" si="1"/>
        <v>5281659.913</v>
      </c>
      <c r="BO2" s="41">
        <f t="shared" si="1"/>
        <v>5348464.4</v>
      </c>
      <c r="BP2" s="41">
        <f t="shared" si="1"/>
        <v>5416447.365</v>
      </c>
      <c r="BQ2" s="41">
        <f t="shared" si="1"/>
        <v>5486569.803</v>
      </c>
      <c r="BR2" s="41">
        <f t="shared" si="1"/>
        <v>5557749.213</v>
      </c>
      <c r="BS2" s="41">
        <f t="shared" si="1"/>
        <v>5628012.918</v>
      </c>
      <c r="BT2" s="41">
        <f t="shared" si="1"/>
        <v>5697909.315</v>
      </c>
      <c r="BU2" s="41">
        <f t="shared" si="1"/>
        <v>5770882.79</v>
      </c>
      <c r="BV2" s="41">
        <f t="shared" si="1"/>
        <v>5845925.97</v>
      </c>
      <c r="BW2" s="41">
        <f t="shared" si="1"/>
        <v>5922618.135</v>
      </c>
      <c r="BX2" s="41">
        <f t="shared" si="1"/>
        <v>6003820.576</v>
      </c>
      <c r="BY2" s="41">
        <f t="shared" si="1"/>
        <v>6088077.613</v>
      </c>
      <c r="BZ2" s="41">
        <f t="shared" si="1"/>
        <v>6174877.22</v>
      </c>
      <c r="CA2" s="41">
        <f t="shared" si="1"/>
        <v>6263379.146</v>
      </c>
      <c r="CB2" s="41">
        <f t="shared" si="1"/>
        <v>6354156.004</v>
      </c>
      <c r="CC2" s="41">
        <f t="shared" si="1"/>
        <v>6447612.507</v>
      </c>
      <c r="CD2" s="41">
        <f t="shared" si="1"/>
        <v>6541539.418</v>
      </c>
      <c r="CE2" s="41">
        <f t="shared" si="1"/>
        <v>6636433.445</v>
      </c>
      <c r="CF2" s="41">
        <f t="shared" si="1"/>
        <v>6734598.219</v>
      </c>
      <c r="CG2" s="41">
        <f t="shared" si="1"/>
        <v>6832820.078</v>
      </c>
      <c r="CH2" s="41">
        <f t="shared" si="1"/>
        <v>6933805.36</v>
      </c>
      <c r="CI2" s="41">
        <f t="shared" si="1"/>
        <v>7034442.485</v>
      </c>
      <c r="CJ2" s="41">
        <f t="shared" si="1"/>
        <v>7135754.701</v>
      </c>
      <c r="CK2" s="41">
        <f t="shared" si="1"/>
        <v>7235277.056</v>
      </c>
      <c r="CL2" s="41">
        <f t="shared" si="1"/>
        <v>7334543.171</v>
      </c>
      <c r="CM2" s="41">
        <f t="shared" si="1"/>
        <v>7431781.471</v>
      </c>
      <c r="CN2" s="41">
        <f t="shared" si="1"/>
        <v>7530046.306</v>
      </c>
      <c r="CO2" s="41">
        <f t="shared" si="1"/>
        <v>7629255.443</v>
      </c>
      <c r="CP2" s="41">
        <f t="shared" si="1"/>
        <v>7730216.086</v>
      </c>
      <c r="CQ2" s="41">
        <f t="shared" si="1"/>
        <v>7832315.365</v>
      </c>
      <c r="CR2" s="41">
        <f t="shared" si="1"/>
        <v>7933665.628</v>
      </c>
      <c r="CS2" s="41">
        <f t="shared" si="1"/>
        <v>8041037.691</v>
      </c>
      <c r="CT2" s="41">
        <f t="shared" si="1"/>
        <v>8146740.39</v>
      </c>
      <c r="CU2" s="41">
        <f t="shared" si="1"/>
        <v>8253602.277</v>
      </c>
      <c r="CV2" s="41">
        <f t="shared" si="1"/>
        <v>8362295.862</v>
      </c>
      <c r="CW2" s="41">
        <f t="shared" si="1"/>
        <v>8472963.606</v>
      </c>
      <c r="CX2" s="41">
        <f t="shared" si="1"/>
        <v>8585719.85</v>
      </c>
      <c r="CY2" s="41">
        <f t="shared" si="1"/>
        <v>8700740.666</v>
      </c>
      <c r="CZ2" s="41">
        <f t="shared" si="1"/>
        <v>8818129.069</v>
      </c>
      <c r="DA2" s="41">
        <f t="shared" si="1"/>
        <v>8937995.819</v>
      </c>
      <c r="DB2" s="41">
        <f t="shared" si="1"/>
        <v>9060421.107</v>
      </c>
      <c r="DC2" s="41">
        <f t="shared" si="1"/>
        <v>9185468.838</v>
      </c>
    </row>
    <row r="3">
      <c r="A3" s="39" t="s">
        <v>184</v>
      </c>
      <c r="B3" s="40"/>
      <c r="C3" s="42">
        <v>37441.4</v>
      </c>
      <c r="D3" s="42">
        <v>37435.6</v>
      </c>
      <c r="E3" s="42">
        <v>37435.6</v>
      </c>
      <c r="F3" s="42">
        <v>37811.7</v>
      </c>
      <c r="G3" s="42">
        <v>37631.6</v>
      </c>
      <c r="H3" s="42">
        <v>37825.7</v>
      </c>
      <c r="I3" s="42">
        <v>37875.2</v>
      </c>
      <c r="J3" s="42">
        <v>38087.9</v>
      </c>
      <c r="K3" s="42">
        <v>38003.399999999994</v>
      </c>
      <c r="L3" s="42">
        <v>38962.7</v>
      </c>
      <c r="M3" s="42">
        <v>39401.200000000004</v>
      </c>
      <c r="N3" s="42">
        <v>39463.5</v>
      </c>
      <c r="O3" s="42">
        <v>39548.1</v>
      </c>
      <c r="P3" s="42">
        <v>39648.700000000004</v>
      </c>
      <c r="Q3" s="42">
        <v>38939.4</v>
      </c>
      <c r="R3" s="42">
        <v>39226.6</v>
      </c>
      <c r="S3" s="42">
        <v>39405.0</v>
      </c>
      <c r="T3" s="42">
        <v>39661.0</v>
      </c>
      <c r="U3" s="42">
        <v>39856.399999999994</v>
      </c>
      <c r="V3" s="42">
        <v>40000.8</v>
      </c>
      <c r="W3" s="42">
        <v>40740.0</v>
      </c>
      <c r="X3" s="42">
        <v>40899.899999999994</v>
      </c>
      <c r="Y3" s="42">
        <v>40921.799999999996</v>
      </c>
      <c r="Z3" s="42">
        <v>41233.8</v>
      </c>
      <c r="AA3" s="42">
        <v>40643.399999999994</v>
      </c>
      <c r="AB3" s="42">
        <v>39931.4</v>
      </c>
      <c r="AC3" s="42">
        <v>40575.299999999996</v>
      </c>
      <c r="AD3" s="42">
        <v>40947.0</v>
      </c>
      <c r="AE3" s="42">
        <v>41163.4</v>
      </c>
      <c r="AF3" s="2">
        <v>41413.97492390286</v>
      </c>
      <c r="AG3" s="2">
        <v>41434.16022378218</v>
      </c>
      <c r="AH3" s="2">
        <v>41253.91478408329</v>
      </c>
      <c r="AI3" s="2">
        <v>41015.45789186061</v>
      </c>
      <c r="AJ3" s="2">
        <v>40711.3009169617</v>
      </c>
      <c r="AK3" s="2">
        <v>40371.28974095422</v>
      </c>
      <c r="AL3" s="2">
        <v>40012.52050011641</v>
      </c>
      <c r="AM3" s="2">
        <v>39634.11413044365</v>
      </c>
      <c r="AN3" s="2">
        <v>39293.32838294532</v>
      </c>
      <c r="AO3" s="2">
        <v>38947.36362157081</v>
      </c>
      <c r="AP3" s="2">
        <v>38648.03901078023</v>
      </c>
      <c r="AQ3" s="2">
        <v>38382.376746226364</v>
      </c>
      <c r="AR3" s="2">
        <v>38208.64135599553</v>
      </c>
      <c r="AS3" s="2">
        <v>38108.69177867197</v>
      </c>
      <c r="AT3" s="2">
        <v>38063.14050642582</v>
      </c>
      <c r="AU3" s="2">
        <v>38089.86985730546</v>
      </c>
      <c r="AV3" s="2">
        <v>38172.5607544405</v>
      </c>
      <c r="AW3" s="2">
        <v>38250.76179070674</v>
      </c>
      <c r="AX3" s="2">
        <v>38333.50493409866</v>
      </c>
      <c r="AY3" s="2">
        <v>38406.64222997611</v>
      </c>
      <c r="AZ3" s="2">
        <v>38423.25571035747</v>
      </c>
      <c r="BA3" s="2">
        <v>38451.3393173876</v>
      </c>
      <c r="BB3" s="2">
        <v>38466.0196862645</v>
      </c>
      <c r="BC3" s="2">
        <v>38435.74671227951</v>
      </c>
      <c r="BD3" s="2">
        <v>38401.10993188676</v>
      </c>
      <c r="BE3" s="2">
        <v>38351.36320228277</v>
      </c>
      <c r="BF3" s="2">
        <v>38307.8221669679</v>
      </c>
      <c r="BG3" s="2">
        <v>38255.83382415218</v>
      </c>
      <c r="BH3" s="2">
        <v>38188.49918001078</v>
      </c>
      <c r="BI3" s="2">
        <v>38089.206412773674</v>
      </c>
      <c r="BJ3" s="2">
        <v>37966.05866809087</v>
      </c>
      <c r="BK3" s="2">
        <v>37812.55087232826</v>
      </c>
      <c r="BL3" s="2">
        <v>37670.26524082067</v>
      </c>
      <c r="BM3" s="2">
        <v>37509.32271977384</v>
      </c>
      <c r="BN3" s="2">
        <v>37406.53111193728</v>
      </c>
      <c r="BO3" s="2">
        <v>37318.79554844373</v>
      </c>
      <c r="BP3" s="2">
        <v>37233.90201546319</v>
      </c>
      <c r="BQ3" s="2">
        <v>37161.57992705416</v>
      </c>
      <c r="BR3" s="2">
        <v>37089.79108218755</v>
      </c>
      <c r="BS3" s="2">
        <v>36998.43808738449</v>
      </c>
      <c r="BT3" s="2">
        <v>36894.16948615906</v>
      </c>
      <c r="BU3" s="2">
        <v>36811.547421394185</v>
      </c>
      <c r="BV3" s="2">
        <v>36739.316556608275</v>
      </c>
      <c r="BW3" s="2">
        <v>36672.683505059234</v>
      </c>
      <c r="BX3" s="2">
        <v>36638.030138553186</v>
      </c>
      <c r="BY3" s="2">
        <v>36619.691702389195</v>
      </c>
      <c r="BZ3" s="2">
        <v>36611.80168829504</v>
      </c>
      <c r="CA3" s="2">
        <v>36605.97581600037</v>
      </c>
      <c r="CB3" s="2">
        <v>36606.99171543965</v>
      </c>
      <c r="CC3" s="2">
        <v>36617.77683560935</v>
      </c>
      <c r="CD3" s="2">
        <v>36618.499990148994</v>
      </c>
      <c r="CE3" s="2">
        <v>36613.847585369906</v>
      </c>
      <c r="CF3" s="2">
        <v>36623.26600980415</v>
      </c>
      <c r="CG3" s="2">
        <v>36619.17006912609</v>
      </c>
      <c r="CH3" s="2">
        <v>36624.249566322505</v>
      </c>
      <c r="CI3" s="2">
        <v>36612.813441206</v>
      </c>
      <c r="CJ3" s="2">
        <v>36593.83975690284</v>
      </c>
      <c r="CK3" s="2">
        <v>36548.49995760118</v>
      </c>
      <c r="CL3" s="2">
        <v>36490.13176630676</v>
      </c>
      <c r="CM3" s="2">
        <v>36406.11646802515</v>
      </c>
      <c r="CN3" s="2">
        <v>36320.72701025711</v>
      </c>
      <c r="CO3" s="2">
        <v>36233.34307236541</v>
      </c>
      <c r="CP3" s="2">
        <v>36149.796331784375</v>
      </c>
      <c r="CQ3" s="2">
        <v>36065.37550303272</v>
      </c>
      <c r="CR3" s="2">
        <v>35966.86228312046</v>
      </c>
      <c r="CS3" s="2">
        <v>35901.60587897486</v>
      </c>
      <c r="CT3" s="2">
        <v>35815.23618191111</v>
      </c>
      <c r="CU3" s="2">
        <v>35727.89868513663</v>
      </c>
      <c r="CV3" s="2">
        <v>35643.96217089318</v>
      </c>
      <c r="CW3" s="2">
        <v>35564.0104703687</v>
      </c>
      <c r="CX3" s="2">
        <v>35488.39355055374</v>
      </c>
      <c r="CY3" s="2">
        <v>35417.81134542929</v>
      </c>
      <c r="CZ3" s="2">
        <v>35352.44713154728</v>
      </c>
      <c r="DA3" s="2">
        <v>35292.50657671254</v>
      </c>
      <c r="DB3" s="2">
        <v>35237.98553439676</v>
      </c>
      <c r="DC3" s="2">
        <v>35188.77370694652</v>
      </c>
      <c r="DD3" s="7">
        <v>3.5144609033771776E7</v>
      </c>
      <c r="DE3" s="7">
        <v>3.510487534076364E7</v>
      </c>
    </row>
    <row r="4">
      <c r="A4" s="39" t="s">
        <v>185</v>
      </c>
      <c r="B4" s="40"/>
      <c r="C4" s="42">
        <v>37441.4</v>
      </c>
      <c r="D4" s="42">
        <v>37435.6</v>
      </c>
      <c r="E4" s="42">
        <v>37635.4</v>
      </c>
      <c r="F4" s="42">
        <v>37811.7</v>
      </c>
      <c r="G4" s="42">
        <v>37631.6</v>
      </c>
      <c r="H4" s="42">
        <v>37825.7</v>
      </c>
      <c r="I4" s="42">
        <v>37875.2</v>
      </c>
      <c r="J4" s="42">
        <v>38087.9</v>
      </c>
      <c r="K4" s="42">
        <v>38003.399999999994</v>
      </c>
      <c r="L4" s="42">
        <v>38962.7</v>
      </c>
      <c r="M4" s="42">
        <v>39401.200000000004</v>
      </c>
      <c r="N4" s="42">
        <v>39463.5</v>
      </c>
      <c r="O4" s="42">
        <v>39548.1</v>
      </c>
      <c r="P4" s="42">
        <v>39648.700000000004</v>
      </c>
      <c r="Q4" s="42">
        <v>38939.4</v>
      </c>
      <c r="R4" s="42">
        <v>39226.6</v>
      </c>
      <c r="S4" s="42">
        <v>39405.0</v>
      </c>
      <c r="T4" s="42">
        <v>39661.0</v>
      </c>
      <c r="U4" s="42">
        <v>39856.399999999994</v>
      </c>
      <c r="V4" s="42">
        <v>40000.8</v>
      </c>
      <c r="W4" s="42">
        <v>40740.0</v>
      </c>
      <c r="X4" s="42">
        <v>40899.899999999994</v>
      </c>
      <c r="Y4" s="42">
        <v>40921.799999999996</v>
      </c>
      <c r="Z4" s="42">
        <v>41233.8</v>
      </c>
      <c r="AA4" s="42">
        <v>40643.399999999994</v>
      </c>
      <c r="AB4" s="42">
        <v>39931.4</v>
      </c>
      <c r="AC4" s="42">
        <v>40575.299999999996</v>
      </c>
      <c r="AD4" s="42">
        <v>40947.0</v>
      </c>
      <c r="AE4" s="42">
        <v>41163.4</v>
      </c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</row>
    <row r="5">
      <c r="A5" s="39" t="s">
        <v>186</v>
      </c>
      <c r="B5" s="40"/>
      <c r="C5" s="41">
        <f> C20 / ($B$16 + $B$25)</f>
        <v>14131090.3</v>
      </c>
      <c r="D5" s="41">
        <f t="shared" ref="D5:DC5" si="2">C5*(1-$B$16)+C11</f>
        <v>14011965.2</v>
      </c>
      <c r="E5" s="41">
        <f t="shared" si="2"/>
        <v>13874244.4</v>
      </c>
      <c r="F5" s="41">
        <f t="shared" si="2"/>
        <v>13749151.6</v>
      </c>
      <c r="G5" s="41">
        <f t="shared" si="2"/>
        <v>13640822.23</v>
      </c>
      <c r="H5" s="41">
        <f t="shared" si="2"/>
        <v>13537171.97</v>
      </c>
      <c r="I5" s="41">
        <f t="shared" si="2"/>
        <v>13412647.12</v>
      </c>
      <c r="J5" s="41">
        <f t="shared" si="2"/>
        <v>13259521.99</v>
      </c>
      <c r="K5" s="41">
        <f t="shared" si="2"/>
        <v>13104467.1</v>
      </c>
      <c r="L5" s="41">
        <f t="shared" si="2"/>
        <v>12951503.73</v>
      </c>
      <c r="M5" s="41">
        <f t="shared" si="2"/>
        <v>12807071.42</v>
      </c>
      <c r="N5" s="41">
        <f t="shared" si="2"/>
        <v>12690910.78</v>
      </c>
      <c r="O5" s="41">
        <f t="shared" si="2"/>
        <v>12597130.64</v>
      </c>
      <c r="P5" s="41">
        <f t="shared" si="2"/>
        <v>12519947.67</v>
      </c>
      <c r="Q5" s="41">
        <f t="shared" si="2"/>
        <v>12425774.69</v>
      </c>
      <c r="R5" s="41">
        <f t="shared" si="2"/>
        <v>12349856.32</v>
      </c>
      <c r="S5" s="41">
        <f t="shared" si="2"/>
        <v>12308095.21</v>
      </c>
      <c r="T5" s="41">
        <f t="shared" si="2"/>
        <v>12275407.44</v>
      </c>
      <c r="U5" s="41">
        <f t="shared" si="2"/>
        <v>12244464.09</v>
      </c>
      <c r="V5" s="41">
        <f t="shared" si="2"/>
        <v>12232404.54</v>
      </c>
      <c r="W5" s="41">
        <f t="shared" si="2"/>
        <v>12230403.32</v>
      </c>
      <c r="X5" s="41">
        <f t="shared" si="2"/>
        <v>12244957.74</v>
      </c>
      <c r="Y5" s="41">
        <f t="shared" si="2"/>
        <v>12271395.34</v>
      </c>
      <c r="Z5" s="41">
        <f t="shared" si="2"/>
        <v>12330679.14</v>
      </c>
      <c r="AA5" s="41">
        <f t="shared" si="2"/>
        <v>12411483.39</v>
      </c>
      <c r="AB5" s="41">
        <f t="shared" si="2"/>
        <v>12506615.42</v>
      </c>
      <c r="AC5" s="41">
        <f t="shared" si="2"/>
        <v>12611711.73</v>
      </c>
      <c r="AD5" s="41">
        <f t="shared" si="2"/>
        <v>12774776.04</v>
      </c>
      <c r="AE5" s="41">
        <f t="shared" si="2"/>
        <v>12970410.59</v>
      </c>
      <c r="AF5" s="41">
        <f t="shared" si="2"/>
        <v>13156963.58</v>
      </c>
      <c r="AG5" s="41">
        <f t="shared" si="2"/>
        <v>13277951.76</v>
      </c>
      <c r="AH5" s="41">
        <f t="shared" si="2"/>
        <v>13403453.13</v>
      </c>
      <c r="AI5" s="41">
        <f t="shared" si="2"/>
        <v>13530939.33</v>
      </c>
      <c r="AJ5" s="41">
        <f t="shared" si="2"/>
        <v>13659661.51</v>
      </c>
      <c r="AK5" s="41">
        <f t="shared" si="2"/>
        <v>13788761.5</v>
      </c>
      <c r="AL5" s="41">
        <f t="shared" si="2"/>
        <v>13917758.35</v>
      </c>
      <c r="AM5" s="41">
        <f t="shared" si="2"/>
        <v>14046390.21</v>
      </c>
      <c r="AN5" s="41">
        <f t="shared" si="2"/>
        <v>14174377.25</v>
      </c>
      <c r="AO5" s="41">
        <f t="shared" si="2"/>
        <v>14302225.64</v>
      </c>
      <c r="AP5" s="41">
        <f t="shared" si="2"/>
        <v>14429848.55</v>
      </c>
      <c r="AQ5" s="41">
        <f t="shared" si="2"/>
        <v>14557897.34</v>
      </c>
      <c r="AR5" s="41">
        <f t="shared" si="2"/>
        <v>14686846.14</v>
      </c>
      <c r="AS5" s="41">
        <f t="shared" si="2"/>
        <v>14818035.09</v>
      </c>
      <c r="AT5" s="41">
        <f t="shared" si="2"/>
        <v>14952553.29</v>
      </c>
      <c r="AU5" s="41">
        <f t="shared" si="2"/>
        <v>15091211.55</v>
      </c>
      <c r="AV5" s="41">
        <f t="shared" si="2"/>
        <v>15235106.22</v>
      </c>
      <c r="AW5" s="41">
        <f t="shared" si="2"/>
        <v>15385094.01</v>
      </c>
      <c r="AX5" s="41">
        <f t="shared" si="2"/>
        <v>15541092.75</v>
      </c>
      <c r="AY5" s="41">
        <f t="shared" si="2"/>
        <v>15703167.77</v>
      </c>
      <c r="AZ5" s="41">
        <f t="shared" si="2"/>
        <v>15871161.04</v>
      </c>
      <c r="BA5" s="41">
        <f t="shared" si="2"/>
        <v>16044149.97</v>
      </c>
      <c r="BB5" s="41">
        <f t="shared" si="2"/>
        <v>16222331.39</v>
      </c>
      <c r="BC5" s="41">
        <f t="shared" si="2"/>
        <v>16405489.37</v>
      </c>
      <c r="BD5" s="41">
        <f t="shared" si="2"/>
        <v>16592870.25</v>
      </c>
      <c r="BE5" s="41">
        <f t="shared" si="2"/>
        <v>16784413.55</v>
      </c>
      <c r="BF5" s="41">
        <f t="shared" si="2"/>
        <v>16979871</v>
      </c>
      <c r="BG5" s="41">
        <f t="shared" si="2"/>
        <v>17179371.2</v>
      </c>
      <c r="BH5" s="41">
        <f t="shared" si="2"/>
        <v>17382781.36</v>
      </c>
      <c r="BI5" s="41">
        <f t="shared" si="2"/>
        <v>17589841.42</v>
      </c>
      <c r="BJ5" s="41">
        <f t="shared" si="2"/>
        <v>17799979.23</v>
      </c>
      <c r="BK5" s="41">
        <f t="shared" si="2"/>
        <v>18012766.57</v>
      </c>
      <c r="BL5" s="41">
        <f t="shared" si="2"/>
        <v>18227643.1</v>
      </c>
      <c r="BM5" s="41">
        <f t="shared" si="2"/>
        <v>18444847.89</v>
      </c>
      <c r="BN5" s="41">
        <f t="shared" si="2"/>
        <v>18664033.04</v>
      </c>
      <c r="BO5" s="41">
        <f t="shared" si="2"/>
        <v>18886386.62</v>
      </c>
      <c r="BP5" s="41">
        <f t="shared" si="2"/>
        <v>19112238.42</v>
      </c>
      <c r="BQ5" s="41">
        <f t="shared" si="2"/>
        <v>19341671.39</v>
      </c>
      <c r="BR5" s="41">
        <f t="shared" si="2"/>
        <v>19574974.54</v>
      </c>
      <c r="BS5" s="41">
        <f t="shared" si="2"/>
        <v>19812185.61</v>
      </c>
      <c r="BT5" s="41">
        <f t="shared" si="2"/>
        <v>20052908.88</v>
      </c>
      <c r="BU5" s="41">
        <f t="shared" si="2"/>
        <v>20296888.36</v>
      </c>
      <c r="BV5" s="41">
        <f t="shared" si="2"/>
        <v>20544634.47</v>
      </c>
      <c r="BW5" s="41">
        <f t="shared" si="2"/>
        <v>20796411.7</v>
      </c>
      <c r="BX5" s="41">
        <f t="shared" si="2"/>
        <v>21052379.26</v>
      </c>
      <c r="BY5" s="41">
        <f t="shared" si="2"/>
        <v>21313314.44</v>
      </c>
      <c r="BZ5" s="41">
        <f t="shared" si="2"/>
        <v>21579637.15</v>
      </c>
      <c r="CA5" s="41">
        <f t="shared" si="2"/>
        <v>21851634.3</v>
      </c>
      <c r="CB5" s="41">
        <f t="shared" si="2"/>
        <v>22129394.6</v>
      </c>
      <c r="CC5" s="41">
        <f t="shared" si="2"/>
        <v>22413127.63</v>
      </c>
      <c r="CD5" s="41">
        <f t="shared" si="2"/>
        <v>22703121.02</v>
      </c>
      <c r="CE5" s="41">
        <f t="shared" si="2"/>
        <v>22999164.66</v>
      </c>
      <c r="CF5" s="41">
        <f t="shared" si="2"/>
        <v>23301167.64</v>
      </c>
      <c r="CG5" s="41">
        <f t="shared" si="2"/>
        <v>23609547.59</v>
      </c>
      <c r="CH5" s="41">
        <f t="shared" si="2"/>
        <v>23923998.15</v>
      </c>
      <c r="CI5" s="41">
        <f t="shared" si="2"/>
        <v>24244820.38</v>
      </c>
      <c r="CJ5" s="41">
        <f t="shared" si="2"/>
        <v>24571619.54</v>
      </c>
      <c r="CK5" s="41">
        <f t="shared" si="2"/>
        <v>24904244.46</v>
      </c>
      <c r="CL5" s="41">
        <f t="shared" si="2"/>
        <v>25242012.28</v>
      </c>
      <c r="CM5" s="41">
        <f t="shared" si="2"/>
        <v>25584609.78</v>
      </c>
      <c r="CN5" s="41">
        <f t="shared" si="2"/>
        <v>25931351.82</v>
      </c>
      <c r="CO5" s="41">
        <f t="shared" si="2"/>
        <v>26282255.76</v>
      </c>
      <c r="CP5" s="41">
        <f t="shared" si="2"/>
        <v>26637320.12</v>
      </c>
      <c r="CQ5" s="41">
        <f t="shared" si="2"/>
        <v>26996720.07</v>
      </c>
      <c r="CR5" s="41">
        <f t="shared" si="2"/>
        <v>27360487.95</v>
      </c>
      <c r="CS5" s="41">
        <f t="shared" si="2"/>
        <v>27728241.5</v>
      </c>
      <c r="CT5" s="41">
        <f t="shared" si="2"/>
        <v>28101098.91</v>
      </c>
      <c r="CU5" s="41">
        <f t="shared" si="2"/>
        <v>28478439.76</v>
      </c>
      <c r="CV5" s="41">
        <f t="shared" si="2"/>
        <v>28860293.5</v>
      </c>
      <c r="CW5" s="41">
        <f t="shared" si="2"/>
        <v>29246835.22</v>
      </c>
      <c r="CX5" s="41">
        <f t="shared" si="2"/>
        <v>29638262.45</v>
      </c>
      <c r="CY5" s="41">
        <f t="shared" si="2"/>
        <v>30034787.85</v>
      </c>
      <c r="CZ5" s="41">
        <f t="shared" si="2"/>
        <v>30436651.97</v>
      </c>
      <c r="DA5" s="41">
        <f t="shared" si="2"/>
        <v>30844105.87</v>
      </c>
      <c r="DB5" s="41">
        <f t="shared" si="2"/>
        <v>31257412.28</v>
      </c>
      <c r="DC5" s="41">
        <f t="shared" si="2"/>
        <v>31676838.36</v>
      </c>
    </row>
    <row r="6">
      <c r="A6" s="39" t="s">
        <v>187</v>
      </c>
      <c r="B6" s="40"/>
      <c r="C6" s="41">
        <f>C10/(C3^$B$8 * C5^$B$9)</f>
        <v>8.575434395</v>
      </c>
      <c r="D6" s="41">
        <f t="shared" ref="D6:DC6" si="3">C6*(1+$B$7)</f>
        <v>8.661188738</v>
      </c>
      <c r="E6" s="41">
        <f t="shared" si="3"/>
        <v>8.747800626</v>
      </c>
      <c r="F6" s="41">
        <f t="shared" si="3"/>
        <v>8.835278632</v>
      </c>
      <c r="G6" s="41">
        <f t="shared" si="3"/>
        <v>8.923631418</v>
      </c>
      <c r="H6" s="41">
        <f t="shared" si="3"/>
        <v>9.012867733</v>
      </c>
      <c r="I6" s="41">
        <f t="shared" si="3"/>
        <v>9.10299641</v>
      </c>
      <c r="J6" s="41">
        <f t="shared" si="3"/>
        <v>9.194026374</v>
      </c>
      <c r="K6" s="41">
        <f t="shared" si="3"/>
        <v>9.285966638</v>
      </c>
      <c r="L6" s="41">
        <f t="shared" si="3"/>
        <v>9.378826304</v>
      </c>
      <c r="M6" s="41">
        <f t="shared" si="3"/>
        <v>9.472614567</v>
      </c>
      <c r="N6" s="41">
        <f t="shared" si="3"/>
        <v>9.567340713</v>
      </c>
      <c r="O6" s="41">
        <f t="shared" si="3"/>
        <v>9.66301412</v>
      </c>
      <c r="P6" s="41">
        <f t="shared" si="3"/>
        <v>9.759644261</v>
      </c>
      <c r="Q6" s="41">
        <f t="shared" si="3"/>
        <v>9.857240704</v>
      </c>
      <c r="R6" s="41">
        <f t="shared" si="3"/>
        <v>9.955813111</v>
      </c>
      <c r="S6" s="41">
        <f t="shared" si="3"/>
        <v>10.05537124</v>
      </c>
      <c r="T6" s="41">
        <f t="shared" si="3"/>
        <v>10.15592495</v>
      </c>
      <c r="U6" s="41">
        <f t="shared" si="3"/>
        <v>10.2574842</v>
      </c>
      <c r="V6" s="41">
        <f t="shared" si="3"/>
        <v>10.36005905</v>
      </c>
      <c r="W6" s="41">
        <f t="shared" si="3"/>
        <v>10.46365964</v>
      </c>
      <c r="X6" s="41">
        <f t="shared" si="3"/>
        <v>10.56829623</v>
      </c>
      <c r="Y6" s="41">
        <f t="shared" si="3"/>
        <v>10.6739792</v>
      </c>
      <c r="Z6" s="41">
        <f t="shared" si="3"/>
        <v>10.78071899</v>
      </c>
      <c r="AA6" s="41">
        <f t="shared" si="3"/>
        <v>10.88852618</v>
      </c>
      <c r="AB6" s="41">
        <f t="shared" si="3"/>
        <v>10.99741144</v>
      </c>
      <c r="AC6" s="41">
        <f t="shared" si="3"/>
        <v>11.10738555</v>
      </c>
      <c r="AD6" s="41">
        <f t="shared" si="3"/>
        <v>11.21845941</v>
      </c>
      <c r="AE6" s="41">
        <f t="shared" si="3"/>
        <v>11.330644</v>
      </c>
      <c r="AF6" s="41">
        <f t="shared" si="3"/>
        <v>11.44395044</v>
      </c>
      <c r="AG6" s="41">
        <f t="shared" si="3"/>
        <v>11.55838995</v>
      </c>
      <c r="AH6" s="41">
        <f t="shared" si="3"/>
        <v>11.67397385</v>
      </c>
      <c r="AI6" s="41">
        <f t="shared" si="3"/>
        <v>11.79071359</v>
      </c>
      <c r="AJ6" s="41">
        <f t="shared" si="3"/>
        <v>11.90862072</v>
      </c>
      <c r="AK6" s="41">
        <f t="shared" si="3"/>
        <v>12.02770693</v>
      </c>
      <c r="AL6" s="41">
        <f t="shared" si="3"/>
        <v>12.147984</v>
      </c>
      <c r="AM6" s="41">
        <f t="shared" si="3"/>
        <v>12.26946384</v>
      </c>
      <c r="AN6" s="41">
        <f t="shared" si="3"/>
        <v>12.39215848</v>
      </c>
      <c r="AO6" s="41">
        <f t="shared" si="3"/>
        <v>12.51608006</v>
      </c>
      <c r="AP6" s="41">
        <f t="shared" si="3"/>
        <v>12.64124086</v>
      </c>
      <c r="AQ6" s="41">
        <f t="shared" si="3"/>
        <v>12.76765327</v>
      </c>
      <c r="AR6" s="41">
        <f t="shared" si="3"/>
        <v>12.8953298</v>
      </c>
      <c r="AS6" s="41">
        <f t="shared" si="3"/>
        <v>13.0242831</v>
      </c>
      <c r="AT6" s="41">
        <f t="shared" si="3"/>
        <v>13.15452593</v>
      </c>
      <c r="AU6" s="41">
        <f t="shared" si="3"/>
        <v>13.28607119</v>
      </c>
      <c r="AV6" s="41">
        <f t="shared" si="3"/>
        <v>13.4189319</v>
      </c>
      <c r="AW6" s="41">
        <f t="shared" si="3"/>
        <v>13.55312122</v>
      </c>
      <c r="AX6" s="41">
        <f t="shared" si="3"/>
        <v>13.68865243</v>
      </c>
      <c r="AY6" s="41">
        <f t="shared" si="3"/>
        <v>13.82553896</v>
      </c>
      <c r="AZ6" s="41">
        <f t="shared" si="3"/>
        <v>13.96379435</v>
      </c>
      <c r="BA6" s="41">
        <f t="shared" si="3"/>
        <v>14.10343229</v>
      </c>
      <c r="BB6" s="41">
        <f t="shared" si="3"/>
        <v>14.24446661</v>
      </c>
      <c r="BC6" s="41">
        <f t="shared" si="3"/>
        <v>14.38691128</v>
      </c>
      <c r="BD6" s="41">
        <f t="shared" si="3"/>
        <v>14.53078039</v>
      </c>
      <c r="BE6" s="41">
        <f t="shared" si="3"/>
        <v>14.6760882</v>
      </c>
      <c r="BF6" s="41">
        <f t="shared" si="3"/>
        <v>14.82284908</v>
      </c>
      <c r="BG6" s="41">
        <f t="shared" si="3"/>
        <v>14.97107757</v>
      </c>
      <c r="BH6" s="41">
        <f t="shared" si="3"/>
        <v>15.12078835</v>
      </c>
      <c r="BI6" s="41">
        <f t="shared" si="3"/>
        <v>15.27199623</v>
      </c>
      <c r="BJ6" s="41">
        <f t="shared" si="3"/>
        <v>15.42471619</v>
      </c>
      <c r="BK6" s="41">
        <f t="shared" si="3"/>
        <v>15.57896335</v>
      </c>
      <c r="BL6" s="41">
        <f t="shared" si="3"/>
        <v>15.73475299</v>
      </c>
      <c r="BM6" s="41">
        <f t="shared" si="3"/>
        <v>15.89210052</v>
      </c>
      <c r="BN6" s="41">
        <f t="shared" si="3"/>
        <v>16.05102152</v>
      </c>
      <c r="BO6" s="41">
        <f t="shared" si="3"/>
        <v>16.21153174</v>
      </c>
      <c r="BP6" s="41">
        <f t="shared" si="3"/>
        <v>16.37364705</v>
      </c>
      <c r="BQ6" s="41">
        <f t="shared" si="3"/>
        <v>16.53738353</v>
      </c>
      <c r="BR6" s="41">
        <f t="shared" si="3"/>
        <v>16.70275736</v>
      </c>
      <c r="BS6" s="41">
        <f t="shared" si="3"/>
        <v>16.86978493</v>
      </c>
      <c r="BT6" s="41">
        <f t="shared" si="3"/>
        <v>17.03848278</v>
      </c>
      <c r="BU6" s="41">
        <f t="shared" si="3"/>
        <v>17.20886761</v>
      </c>
      <c r="BV6" s="41">
        <f t="shared" si="3"/>
        <v>17.38095629</v>
      </c>
      <c r="BW6" s="41">
        <f t="shared" si="3"/>
        <v>17.55476585</v>
      </c>
      <c r="BX6" s="41">
        <f t="shared" si="3"/>
        <v>17.73031351</v>
      </c>
      <c r="BY6" s="41">
        <f t="shared" si="3"/>
        <v>17.90761664</v>
      </c>
      <c r="BZ6" s="41">
        <f t="shared" si="3"/>
        <v>18.08669281</v>
      </c>
      <c r="CA6" s="41">
        <f t="shared" si="3"/>
        <v>18.26755974</v>
      </c>
      <c r="CB6" s="41">
        <f t="shared" si="3"/>
        <v>18.45023534</v>
      </c>
      <c r="CC6" s="41">
        <f t="shared" si="3"/>
        <v>18.63473769</v>
      </c>
      <c r="CD6" s="41">
        <f t="shared" si="3"/>
        <v>18.82108507</v>
      </c>
      <c r="CE6" s="41">
        <f t="shared" si="3"/>
        <v>19.00929592</v>
      </c>
      <c r="CF6" s="41">
        <f t="shared" si="3"/>
        <v>19.19938888</v>
      </c>
      <c r="CG6" s="41">
        <f t="shared" si="3"/>
        <v>19.39138276</v>
      </c>
      <c r="CH6" s="41">
        <f t="shared" si="3"/>
        <v>19.58529659</v>
      </c>
      <c r="CI6" s="41">
        <f t="shared" si="3"/>
        <v>19.78114956</v>
      </c>
      <c r="CJ6" s="41">
        <f t="shared" si="3"/>
        <v>19.97896105</v>
      </c>
      <c r="CK6" s="41">
        <f t="shared" si="3"/>
        <v>20.17875066</v>
      </c>
      <c r="CL6" s="41">
        <f t="shared" si="3"/>
        <v>20.38053817</v>
      </c>
      <c r="CM6" s="41">
        <f t="shared" si="3"/>
        <v>20.58434355</v>
      </c>
      <c r="CN6" s="41">
        <f t="shared" si="3"/>
        <v>20.79018699</v>
      </c>
      <c r="CO6" s="41">
        <f t="shared" si="3"/>
        <v>20.99808886</v>
      </c>
      <c r="CP6" s="41">
        <f t="shared" si="3"/>
        <v>21.20806975</v>
      </c>
      <c r="CQ6" s="41">
        <f t="shared" si="3"/>
        <v>21.42015044</v>
      </c>
      <c r="CR6" s="41">
        <f t="shared" si="3"/>
        <v>21.63435195</v>
      </c>
      <c r="CS6" s="41">
        <f t="shared" si="3"/>
        <v>21.85069547</v>
      </c>
      <c r="CT6" s="41">
        <f t="shared" si="3"/>
        <v>22.06920242</v>
      </c>
      <c r="CU6" s="41">
        <f t="shared" si="3"/>
        <v>22.28989445</v>
      </c>
      <c r="CV6" s="41">
        <f t="shared" si="3"/>
        <v>22.51279339</v>
      </c>
      <c r="CW6" s="41">
        <f t="shared" si="3"/>
        <v>22.73792132</v>
      </c>
      <c r="CX6" s="41">
        <f t="shared" si="3"/>
        <v>22.96530054</v>
      </c>
      <c r="CY6" s="41">
        <f t="shared" si="3"/>
        <v>23.19495354</v>
      </c>
      <c r="CZ6" s="41">
        <f t="shared" si="3"/>
        <v>23.42690308</v>
      </c>
      <c r="DA6" s="41">
        <f t="shared" si="3"/>
        <v>23.66117211</v>
      </c>
      <c r="DB6" s="41">
        <f t="shared" si="3"/>
        <v>23.89778383</v>
      </c>
      <c r="DC6" s="41">
        <f t="shared" si="3"/>
        <v>24.13676167</v>
      </c>
    </row>
    <row r="7">
      <c r="A7" s="39" t="s">
        <v>188</v>
      </c>
      <c r="B7" s="40">
        <v>0.01</v>
      </c>
    </row>
    <row r="8">
      <c r="A8" s="39" t="s">
        <v>189</v>
      </c>
      <c r="B8" s="40">
        <v>0.65</v>
      </c>
    </row>
    <row r="9">
      <c r="A9" s="39" t="s">
        <v>190</v>
      </c>
      <c r="B9" s="40">
        <v>0.35</v>
      </c>
    </row>
    <row r="10">
      <c r="A10" s="39" t="s">
        <v>191</v>
      </c>
      <c r="B10" s="40"/>
      <c r="C10" s="41">
        <v>2561512.416520781</v>
      </c>
      <c r="D10" s="41">
        <v>2493629.8936915146</v>
      </c>
      <c r="E10" s="41">
        <v>2504835.455350351</v>
      </c>
      <c r="F10" s="41">
        <v>2536312.576312576</v>
      </c>
      <c r="G10" s="41">
        <v>2527606.3425750094</v>
      </c>
      <c r="H10" s="41">
        <v>2563823.203129561</v>
      </c>
      <c r="I10" s="41">
        <v>2602277.6483807163</v>
      </c>
      <c r="J10" s="41">
        <v>2636650.31122407</v>
      </c>
      <c r="K10" s="41">
        <v>2667131.9236048106</v>
      </c>
      <c r="L10" s="41">
        <v>2681366.4453052944</v>
      </c>
      <c r="M10" s="41">
        <v>2693361.456483126</v>
      </c>
      <c r="N10" s="41">
        <v>2742889.819170515</v>
      </c>
      <c r="O10" s="41">
        <v>2768911.651180942</v>
      </c>
      <c r="P10" s="41">
        <v>2824136.01838331</v>
      </c>
      <c r="Q10" s="41">
        <v>2843388.946252921</v>
      </c>
      <c r="R10" s="41">
        <v>2878433.3033039323</v>
      </c>
      <c r="S10" s="41">
        <v>2919647.6046499503</v>
      </c>
      <c r="T10" s="41">
        <v>2977909.3316715998</v>
      </c>
      <c r="U10" s="41">
        <v>3034511.151320471</v>
      </c>
      <c r="V10" s="41">
        <v>3085650.0</v>
      </c>
      <c r="W10" s="41">
        <v>3124404.907375727</v>
      </c>
      <c r="X10" s="41">
        <v>3170281.613735213</v>
      </c>
      <c r="Y10" s="41">
        <v>3229420.401709241</v>
      </c>
      <c r="Z10" s="41">
        <v>3294512.3769758423</v>
      </c>
      <c r="AA10" s="41">
        <v>3352335.231579561</v>
      </c>
      <c r="AB10" s="41">
        <v>3446315.0790228536</v>
      </c>
      <c r="AC10" s="41">
        <v>3656232.6613648976</v>
      </c>
      <c r="AD10" s="41">
        <v>3880863.413412949</v>
      </c>
      <c r="AE10" s="41">
        <v>4001394.129784189</v>
      </c>
    </row>
    <row r="11">
      <c r="A11" s="39" t="s">
        <v>22</v>
      </c>
      <c r="B11" s="40"/>
      <c r="C11" s="41">
        <f t="shared" ref="C11:DC11" si="4">IF(C$1&lt;=2024,C20,$B$17*C2)</f>
        <v>587429.4236</v>
      </c>
      <c r="D11" s="41">
        <f t="shared" si="4"/>
        <v>562877.4588</v>
      </c>
      <c r="E11" s="41">
        <f t="shared" si="4"/>
        <v>568619.4211</v>
      </c>
      <c r="F11" s="41">
        <f t="shared" si="4"/>
        <v>579128.2051</v>
      </c>
      <c r="G11" s="41">
        <f t="shared" si="4"/>
        <v>578390.8564</v>
      </c>
      <c r="H11" s="41">
        <f t="shared" si="4"/>
        <v>552333.742</v>
      </c>
      <c r="I11" s="41">
        <f t="shared" si="4"/>
        <v>517507.2274</v>
      </c>
      <c r="J11" s="41">
        <f t="shared" si="4"/>
        <v>507921.2115</v>
      </c>
      <c r="K11" s="41">
        <f t="shared" si="4"/>
        <v>502259.9856</v>
      </c>
      <c r="L11" s="41">
        <f t="shared" si="4"/>
        <v>503142.8703</v>
      </c>
      <c r="M11" s="41">
        <f t="shared" si="4"/>
        <v>524192.9396</v>
      </c>
      <c r="N11" s="41">
        <f t="shared" si="4"/>
        <v>540765.3964</v>
      </c>
      <c r="O11" s="41">
        <f t="shared" si="4"/>
        <v>552673.5595</v>
      </c>
      <c r="P11" s="41">
        <f t="shared" si="4"/>
        <v>531824.4077</v>
      </c>
      <c r="Q11" s="41">
        <f t="shared" si="4"/>
        <v>545370.3603</v>
      </c>
      <c r="R11" s="41">
        <f t="shared" si="4"/>
        <v>575731.7048</v>
      </c>
      <c r="S11" s="41">
        <f t="shared" si="4"/>
        <v>582716.989</v>
      </c>
      <c r="T11" s="41">
        <f t="shared" si="4"/>
        <v>582827.0239</v>
      </c>
      <c r="U11" s="41">
        <f t="shared" si="4"/>
        <v>600163.6611</v>
      </c>
      <c r="V11" s="41">
        <f t="shared" si="4"/>
        <v>609619</v>
      </c>
      <c r="W11" s="41">
        <f t="shared" si="4"/>
        <v>626074.5882</v>
      </c>
      <c r="X11" s="41">
        <f t="shared" si="4"/>
        <v>638685.4853</v>
      </c>
      <c r="Y11" s="41">
        <f t="shared" si="4"/>
        <v>672853.5663</v>
      </c>
      <c r="Z11" s="41">
        <f t="shared" si="4"/>
        <v>697338.2046</v>
      </c>
      <c r="AA11" s="41">
        <f t="shared" si="4"/>
        <v>715706.2059</v>
      </c>
      <c r="AB11" s="41">
        <f t="shared" si="4"/>
        <v>730427.0796</v>
      </c>
      <c r="AC11" s="41">
        <f t="shared" si="4"/>
        <v>793649.8983</v>
      </c>
      <c r="AD11" s="41">
        <f t="shared" si="4"/>
        <v>834373.3484</v>
      </c>
      <c r="AE11" s="41">
        <f t="shared" si="4"/>
        <v>835073.5171</v>
      </c>
      <c r="AF11" s="41">
        <f t="shared" si="4"/>
        <v>778836.3666</v>
      </c>
      <c r="AG11" s="41">
        <f t="shared" si="4"/>
        <v>789398.9548</v>
      </c>
      <c r="AH11" s="41">
        <f t="shared" si="4"/>
        <v>797658.8581</v>
      </c>
      <c r="AI11" s="41">
        <f t="shared" si="4"/>
        <v>805269.1486</v>
      </c>
      <c r="AJ11" s="41">
        <f t="shared" si="4"/>
        <v>812083.061</v>
      </c>
      <c r="AK11" s="41">
        <f t="shared" si="4"/>
        <v>818434.9306</v>
      </c>
      <c r="AL11" s="41">
        <f t="shared" si="4"/>
        <v>824519.7774</v>
      </c>
      <c r="AM11" s="41">
        <f t="shared" si="4"/>
        <v>830306.5502</v>
      </c>
      <c r="AN11" s="41">
        <f t="shared" si="4"/>
        <v>836567.2496</v>
      </c>
      <c r="AO11" s="41">
        <f t="shared" si="4"/>
        <v>842734.1955</v>
      </c>
      <c r="AP11" s="41">
        <f t="shared" si="4"/>
        <v>849541.2095</v>
      </c>
      <c r="AQ11" s="41">
        <f t="shared" si="4"/>
        <v>856843.6701</v>
      </c>
      <c r="AR11" s="41">
        <f t="shared" si="4"/>
        <v>865531.253</v>
      </c>
      <c r="AS11" s="41">
        <f t="shared" si="4"/>
        <v>875419.9572</v>
      </c>
      <c r="AT11" s="41">
        <f t="shared" si="4"/>
        <v>886285.9233</v>
      </c>
      <c r="AU11" s="41">
        <f t="shared" si="4"/>
        <v>898455.2549</v>
      </c>
      <c r="AV11" s="41">
        <f t="shared" si="4"/>
        <v>911743.0968</v>
      </c>
      <c r="AW11" s="41">
        <f t="shared" si="4"/>
        <v>925253.4376</v>
      </c>
      <c r="AX11" s="41">
        <f t="shared" si="4"/>
        <v>939129.6602</v>
      </c>
      <c r="AY11" s="41">
        <f t="shared" si="4"/>
        <v>953151.6603</v>
      </c>
      <c r="AZ11" s="41">
        <f t="shared" si="4"/>
        <v>966546.9751</v>
      </c>
      <c r="BA11" s="41">
        <f t="shared" si="4"/>
        <v>980388.925</v>
      </c>
      <c r="BB11" s="41">
        <f t="shared" si="4"/>
        <v>994274.5446</v>
      </c>
      <c r="BC11" s="41">
        <f t="shared" si="4"/>
        <v>1007655.348</v>
      </c>
      <c r="BD11" s="41">
        <f t="shared" si="4"/>
        <v>1021186.814</v>
      </c>
      <c r="BE11" s="41">
        <f t="shared" si="4"/>
        <v>1034678.13</v>
      </c>
      <c r="BF11" s="41">
        <f t="shared" si="4"/>
        <v>1048493.749</v>
      </c>
      <c r="BG11" s="41">
        <f t="shared" si="4"/>
        <v>1062378.719</v>
      </c>
      <c r="BH11" s="41">
        <f t="shared" si="4"/>
        <v>1076199.125</v>
      </c>
      <c r="BI11" s="41">
        <f t="shared" si="4"/>
        <v>1089629.883</v>
      </c>
      <c r="BJ11" s="41">
        <f t="shared" si="4"/>
        <v>1102786.301</v>
      </c>
      <c r="BK11" s="41">
        <f t="shared" si="4"/>
        <v>1115514.861</v>
      </c>
      <c r="BL11" s="41">
        <f t="shared" si="4"/>
        <v>1128586.949</v>
      </c>
      <c r="BM11" s="41">
        <f t="shared" si="4"/>
        <v>1141427.543</v>
      </c>
      <c r="BN11" s="41">
        <f t="shared" si="4"/>
        <v>1155555.227</v>
      </c>
      <c r="BO11" s="41">
        <f t="shared" si="4"/>
        <v>1170171.138</v>
      </c>
      <c r="BP11" s="41">
        <f t="shared" si="4"/>
        <v>1185044.885</v>
      </c>
      <c r="BQ11" s="41">
        <f t="shared" si="4"/>
        <v>1200386.719</v>
      </c>
      <c r="BR11" s="41">
        <f t="shared" si="4"/>
        <v>1215959.804</v>
      </c>
      <c r="BS11" s="41">
        <f t="shared" si="4"/>
        <v>1231332.545</v>
      </c>
      <c r="BT11" s="41">
        <f t="shared" si="4"/>
        <v>1246624.924</v>
      </c>
      <c r="BU11" s="41">
        <f t="shared" si="4"/>
        <v>1262590.526</v>
      </c>
      <c r="BV11" s="41">
        <f t="shared" si="4"/>
        <v>1279008.952</v>
      </c>
      <c r="BW11" s="41">
        <f t="shared" si="4"/>
        <v>1295788.153</v>
      </c>
      <c r="BX11" s="41">
        <f t="shared" si="4"/>
        <v>1313554.14</v>
      </c>
      <c r="BY11" s="41">
        <f t="shared" si="4"/>
        <v>1331988.432</v>
      </c>
      <c r="BZ11" s="41">
        <f t="shared" si="4"/>
        <v>1350979.003</v>
      </c>
      <c r="CA11" s="41">
        <f t="shared" si="4"/>
        <v>1370342.019</v>
      </c>
      <c r="CB11" s="41">
        <f t="shared" si="4"/>
        <v>1390202.759</v>
      </c>
      <c r="CC11" s="41">
        <f t="shared" si="4"/>
        <v>1410649.768</v>
      </c>
      <c r="CD11" s="41">
        <f t="shared" si="4"/>
        <v>1431199.696</v>
      </c>
      <c r="CE11" s="41">
        <f t="shared" si="4"/>
        <v>1451961.217</v>
      </c>
      <c r="CF11" s="41">
        <f t="shared" si="4"/>
        <v>1473438.332</v>
      </c>
      <c r="CG11" s="41">
        <f t="shared" si="4"/>
        <v>1494927.936</v>
      </c>
      <c r="CH11" s="41">
        <f t="shared" si="4"/>
        <v>1517022.14</v>
      </c>
      <c r="CI11" s="41">
        <f t="shared" si="4"/>
        <v>1539040.172</v>
      </c>
      <c r="CJ11" s="41">
        <f t="shared" si="4"/>
        <v>1561205.904</v>
      </c>
      <c r="CK11" s="41">
        <f t="shared" si="4"/>
        <v>1582980.04</v>
      </c>
      <c r="CL11" s="41">
        <f t="shared" si="4"/>
        <v>1604698.113</v>
      </c>
      <c r="CM11" s="41">
        <f t="shared" si="4"/>
        <v>1625972.528</v>
      </c>
      <c r="CN11" s="41">
        <f t="shared" si="4"/>
        <v>1647471.535</v>
      </c>
      <c r="CO11" s="41">
        <f t="shared" si="4"/>
        <v>1669177.143</v>
      </c>
      <c r="CP11" s="41">
        <f t="shared" si="4"/>
        <v>1691265.956</v>
      </c>
      <c r="CQ11" s="41">
        <f t="shared" si="4"/>
        <v>1713603.887</v>
      </c>
      <c r="CR11" s="41">
        <f t="shared" si="4"/>
        <v>1735777.944</v>
      </c>
      <c r="CS11" s="41">
        <f t="shared" si="4"/>
        <v>1759269.488</v>
      </c>
      <c r="CT11" s="41">
        <f t="shared" si="4"/>
        <v>1782395.798</v>
      </c>
      <c r="CU11" s="41">
        <f t="shared" si="4"/>
        <v>1805775.723</v>
      </c>
      <c r="CV11" s="41">
        <f t="shared" si="4"/>
        <v>1829556.399</v>
      </c>
      <c r="CW11" s="41">
        <f t="shared" si="4"/>
        <v>1853768.993</v>
      </c>
      <c r="CX11" s="41">
        <f t="shared" si="4"/>
        <v>1878438.523</v>
      </c>
      <c r="CY11" s="41">
        <f t="shared" si="4"/>
        <v>1903603.511</v>
      </c>
      <c r="CZ11" s="41">
        <f t="shared" si="4"/>
        <v>1929286.494</v>
      </c>
      <c r="DA11" s="41">
        <f t="shared" si="4"/>
        <v>1955511.705</v>
      </c>
      <c r="DB11" s="41">
        <f t="shared" si="4"/>
        <v>1982296.69</v>
      </c>
      <c r="DC11" s="41">
        <f t="shared" si="4"/>
        <v>2009655.43</v>
      </c>
    </row>
    <row r="12">
      <c r="A12" s="39" t="s">
        <v>192</v>
      </c>
      <c r="B12" s="40">
        <f>0.03065</f>
        <v>0.03065</v>
      </c>
    </row>
    <row r="13">
      <c r="A13" s="39" t="s">
        <v>193</v>
      </c>
      <c r="B13" s="40">
        <f>0.02222</f>
        <v>0.02222</v>
      </c>
    </row>
    <row r="14">
      <c r="A14" s="39" t="s">
        <v>181</v>
      </c>
      <c r="B14" s="40">
        <v>0.0</v>
      </c>
    </row>
    <row r="15">
      <c r="A15" s="39" t="s">
        <v>24</v>
      </c>
      <c r="B15" s="40"/>
      <c r="C15" s="41"/>
      <c r="AC15" s="43">
        <v>1008034.0</v>
      </c>
      <c r="AD15" s="43">
        <v>476926.0</v>
      </c>
      <c r="AE15" s="43">
        <v>286371.0</v>
      </c>
      <c r="AF15" s="43">
        <v>243325.0</v>
      </c>
      <c r="AG15" s="43">
        <v>201432.0</v>
      </c>
      <c r="AH15" s="43">
        <v>155114.0</v>
      </c>
      <c r="AI15" s="43">
        <v>160622.0</v>
      </c>
      <c r="AJ15" s="43">
        <v>162143.0</v>
      </c>
      <c r="AK15" s="43">
        <v>162228.0</v>
      </c>
      <c r="AL15" s="43">
        <v>162178.0</v>
      </c>
      <c r="AM15" s="43">
        <v>162151.0</v>
      </c>
      <c r="AN15" s="43">
        <v>162009.0</v>
      </c>
      <c r="AO15" s="43">
        <v>183408.0</v>
      </c>
      <c r="AP15" s="43">
        <v>177584.0</v>
      </c>
      <c r="AQ15" s="43">
        <v>173236.0</v>
      </c>
      <c r="AR15" s="43">
        <v>170095.0</v>
      </c>
      <c r="AS15" s="43">
        <v>167799.0</v>
      </c>
      <c r="AT15" s="43">
        <v>167291.0</v>
      </c>
      <c r="AU15" s="43">
        <v>166817.0</v>
      </c>
      <c r="AV15" s="43">
        <v>166356.0</v>
      </c>
      <c r="AW15" s="43">
        <v>166289.0</v>
      </c>
      <c r="AX15" s="43">
        <v>166591.0</v>
      </c>
      <c r="AY15" s="43">
        <v>167015.0</v>
      </c>
      <c r="AZ15" s="43">
        <v>170371.0</v>
      </c>
      <c r="BA15" s="43">
        <v>170419.0</v>
      </c>
      <c r="BB15" s="43">
        <v>171392.0</v>
      </c>
      <c r="BC15" s="43">
        <v>170387.0</v>
      </c>
      <c r="BD15" s="43">
        <v>170647.0</v>
      </c>
      <c r="BE15" s="43">
        <v>171497.0</v>
      </c>
      <c r="BF15" s="43">
        <v>173820.0</v>
      </c>
      <c r="BG15" s="43">
        <v>175379.0</v>
      </c>
      <c r="BH15" s="43">
        <v>177484.0</v>
      </c>
      <c r="BI15" s="43">
        <v>175821.0</v>
      </c>
      <c r="BJ15" s="43">
        <v>176799.0</v>
      </c>
      <c r="BK15" s="43">
        <v>170832.0</v>
      </c>
      <c r="BL15" s="43">
        <v>168705.0</v>
      </c>
      <c r="BM15" s="43">
        <v>167695.0</v>
      </c>
      <c r="BN15" s="43">
        <v>165835.0</v>
      </c>
      <c r="BO15" s="43">
        <v>165082.0</v>
      </c>
      <c r="BP15" s="43">
        <v>166202.0</v>
      </c>
      <c r="BQ15" s="43">
        <v>166787.0</v>
      </c>
      <c r="BR15" s="43">
        <v>164297.0</v>
      </c>
      <c r="BS15" s="43">
        <v>162878.0</v>
      </c>
      <c r="BT15" s="43">
        <v>161965.0</v>
      </c>
      <c r="BU15" s="43">
        <v>158712.0</v>
      </c>
      <c r="BV15" s="43">
        <v>156918.0</v>
      </c>
      <c r="BW15" s="43">
        <v>155717.0</v>
      </c>
      <c r="BX15" s="43">
        <v>155288.0</v>
      </c>
      <c r="BY15" s="43">
        <v>154795.0</v>
      </c>
      <c r="BZ15" s="43">
        <v>154019.0</v>
      </c>
      <c r="CA15" s="43">
        <v>154008.0</v>
      </c>
      <c r="CB15" s="43">
        <v>154055.0</v>
      </c>
      <c r="CC15" s="43">
        <v>152711.0</v>
      </c>
      <c r="CD15" s="43">
        <v>153372.0</v>
      </c>
      <c r="CE15" s="43">
        <v>152186.0</v>
      </c>
      <c r="CF15" s="43">
        <v>153295.0</v>
      </c>
      <c r="CG15" s="43">
        <v>153562.0</v>
      </c>
      <c r="CH15" s="43">
        <v>155501.0</v>
      </c>
      <c r="CI15" s="43">
        <v>156194.0</v>
      </c>
      <c r="CJ15" s="43">
        <v>157991.0</v>
      </c>
      <c r="CK15" s="43">
        <v>157534.0</v>
      </c>
      <c r="CL15" s="43">
        <v>157089.0</v>
      </c>
      <c r="CM15" s="43">
        <v>156079.0</v>
      </c>
      <c r="CN15" s="43">
        <v>155461.0</v>
      </c>
      <c r="CO15" s="43">
        <v>156039.0</v>
      </c>
      <c r="CP15" s="43">
        <v>152298.0</v>
      </c>
      <c r="CQ15" s="43">
        <v>153486.0</v>
      </c>
      <c r="CR15" s="43">
        <v>152869.0</v>
      </c>
      <c r="CS15" s="43">
        <v>151849.0</v>
      </c>
      <c r="CT15" s="43">
        <v>150787.0</v>
      </c>
      <c r="CU15" s="43">
        <v>149708.0</v>
      </c>
      <c r="CV15" s="43">
        <v>148606.0</v>
      </c>
      <c r="CW15" s="43">
        <v>147510.0</v>
      </c>
      <c r="CX15" s="43">
        <v>146444.0</v>
      </c>
      <c r="CY15" s="43">
        <v>145400.0</v>
      </c>
      <c r="CZ15" s="43">
        <v>144409.0</v>
      </c>
      <c r="DA15" s="43">
        <v>143479.0</v>
      </c>
      <c r="DB15" s="43">
        <v>142639.0</v>
      </c>
      <c r="DC15" s="43">
        <v>141870.0</v>
      </c>
    </row>
    <row r="16">
      <c r="A16" s="39" t="s">
        <v>194</v>
      </c>
      <c r="B16" s="40">
        <v>0.05</v>
      </c>
    </row>
    <row r="17">
      <c r="A17" s="39" t="s">
        <v>195</v>
      </c>
      <c r="B17" s="44">
        <v>0.218786375045611</v>
      </c>
    </row>
    <row r="18">
      <c r="A18" s="39" t="s">
        <v>196</v>
      </c>
      <c r="B18" s="40"/>
      <c r="C18" s="41">
        <v>452996.2</v>
      </c>
      <c r="D18" s="41">
        <v>442112.1</v>
      </c>
      <c r="E18" s="41">
        <v>455981.6</v>
      </c>
      <c r="F18" s="41">
        <v>474306.0</v>
      </c>
      <c r="G18" s="41">
        <v>487329.0</v>
      </c>
      <c r="H18" s="41">
        <v>472991.0</v>
      </c>
      <c r="I18" s="41">
        <v>442153.0</v>
      </c>
      <c r="J18" s="41">
        <v>431667.0</v>
      </c>
      <c r="K18" s="41">
        <v>431813.0</v>
      </c>
      <c r="L18" s="41">
        <v>436406.0</v>
      </c>
      <c r="M18" s="41">
        <v>472193.0</v>
      </c>
      <c r="N18" s="41">
        <v>501203.0</v>
      </c>
      <c r="O18" s="41">
        <v>516899.0</v>
      </c>
      <c r="P18" s="41">
        <v>469819.0</v>
      </c>
      <c r="Q18" s="41">
        <v>501768.0</v>
      </c>
      <c r="R18" s="41">
        <v>549605.0</v>
      </c>
      <c r="S18" s="41">
        <v>558913.0</v>
      </c>
      <c r="T18" s="41">
        <v>561175.0</v>
      </c>
      <c r="U18" s="41">
        <v>590405.0</v>
      </c>
      <c r="V18" s="41">
        <v>609619.0</v>
      </c>
      <c r="W18" s="41">
        <v>640443.0</v>
      </c>
      <c r="X18" s="41">
        <v>671086.0</v>
      </c>
      <c r="Y18" s="41">
        <v>714880.0</v>
      </c>
      <c r="Z18" s="41">
        <v>748216.0</v>
      </c>
      <c r="AA18" s="41">
        <v>736476.0</v>
      </c>
      <c r="AB18" s="41">
        <v>779205.0</v>
      </c>
      <c r="AC18" s="41">
        <v>858253.0</v>
      </c>
      <c r="AD18" s="41">
        <v>899880.0</v>
      </c>
      <c r="AE18" s="41">
        <v>898489.0</v>
      </c>
    </row>
    <row r="19">
      <c r="A19" s="38" t="s">
        <v>197</v>
      </c>
      <c r="C19" s="41">
        <v>77.115</v>
      </c>
      <c r="D19" s="41">
        <v>78.545</v>
      </c>
      <c r="E19" s="41">
        <v>80.191</v>
      </c>
      <c r="F19" s="41">
        <v>81.9</v>
      </c>
      <c r="G19" s="41">
        <v>84.256</v>
      </c>
      <c r="H19" s="41">
        <v>85.635</v>
      </c>
      <c r="I19" s="41">
        <v>85.439</v>
      </c>
      <c r="J19" s="41">
        <v>84.987</v>
      </c>
      <c r="K19" s="41">
        <v>85.974</v>
      </c>
      <c r="L19" s="41">
        <v>86.736</v>
      </c>
      <c r="M19" s="41">
        <v>90.08</v>
      </c>
      <c r="N19" s="41">
        <v>92.684</v>
      </c>
      <c r="O19" s="41">
        <v>93.527</v>
      </c>
      <c r="P19" s="41">
        <v>88.341</v>
      </c>
      <c r="Q19" s="41">
        <v>92.005</v>
      </c>
      <c r="R19" s="41">
        <v>95.462</v>
      </c>
      <c r="S19" s="41">
        <v>95.915</v>
      </c>
      <c r="T19" s="41">
        <v>96.285</v>
      </c>
      <c r="U19" s="41">
        <v>98.374</v>
      </c>
      <c r="V19" s="41">
        <v>100.0</v>
      </c>
      <c r="W19" s="41">
        <v>102.295</v>
      </c>
      <c r="X19" s="41">
        <v>105.073</v>
      </c>
      <c r="Y19" s="41">
        <v>106.246</v>
      </c>
      <c r="Z19" s="41">
        <v>107.296</v>
      </c>
      <c r="AA19" s="41">
        <v>102.902</v>
      </c>
      <c r="AB19" s="41">
        <v>106.678</v>
      </c>
      <c r="AC19" s="41">
        <v>108.14</v>
      </c>
      <c r="AD19" s="41">
        <v>107.851</v>
      </c>
      <c r="AE19" s="41">
        <v>107.594</v>
      </c>
    </row>
    <row r="20">
      <c r="A20" s="38" t="s">
        <v>198</v>
      </c>
      <c r="C20" s="41">
        <f t="shared" ref="C20:AE20" si="5">C18/(C19/100)</f>
        <v>587429.4236</v>
      </c>
      <c r="D20" s="41">
        <f t="shared" si="5"/>
        <v>562877.4588</v>
      </c>
      <c r="E20" s="41">
        <f t="shared" si="5"/>
        <v>568619.4211</v>
      </c>
      <c r="F20" s="41">
        <f t="shared" si="5"/>
        <v>579128.2051</v>
      </c>
      <c r="G20" s="41">
        <f t="shared" si="5"/>
        <v>578390.8564</v>
      </c>
      <c r="H20" s="41">
        <f t="shared" si="5"/>
        <v>552333.742</v>
      </c>
      <c r="I20" s="41">
        <f t="shared" si="5"/>
        <v>517507.2274</v>
      </c>
      <c r="J20" s="41">
        <f t="shared" si="5"/>
        <v>507921.2115</v>
      </c>
      <c r="K20" s="41">
        <f t="shared" si="5"/>
        <v>502259.9856</v>
      </c>
      <c r="L20" s="41">
        <f t="shared" si="5"/>
        <v>503142.8703</v>
      </c>
      <c r="M20" s="41">
        <f t="shared" si="5"/>
        <v>524192.9396</v>
      </c>
      <c r="N20" s="41">
        <f t="shared" si="5"/>
        <v>540765.3964</v>
      </c>
      <c r="O20" s="41">
        <f t="shared" si="5"/>
        <v>552673.5595</v>
      </c>
      <c r="P20" s="41">
        <f t="shared" si="5"/>
        <v>531824.4077</v>
      </c>
      <c r="Q20" s="41">
        <f t="shared" si="5"/>
        <v>545370.3603</v>
      </c>
      <c r="R20" s="41">
        <f t="shared" si="5"/>
        <v>575731.7048</v>
      </c>
      <c r="S20" s="41">
        <f t="shared" si="5"/>
        <v>582716.989</v>
      </c>
      <c r="T20" s="41">
        <f t="shared" si="5"/>
        <v>582827.0239</v>
      </c>
      <c r="U20" s="41">
        <f t="shared" si="5"/>
        <v>600163.6611</v>
      </c>
      <c r="V20" s="41">
        <f t="shared" si="5"/>
        <v>609619</v>
      </c>
      <c r="W20" s="41">
        <f t="shared" si="5"/>
        <v>626074.5882</v>
      </c>
      <c r="X20" s="41">
        <f t="shared" si="5"/>
        <v>638685.4853</v>
      </c>
      <c r="Y20" s="41">
        <f t="shared" si="5"/>
        <v>672853.5663</v>
      </c>
      <c r="Z20" s="41">
        <f t="shared" si="5"/>
        <v>697338.2046</v>
      </c>
      <c r="AA20" s="41">
        <f t="shared" si="5"/>
        <v>715706.2059</v>
      </c>
      <c r="AB20" s="41">
        <f t="shared" si="5"/>
        <v>730427.0796</v>
      </c>
      <c r="AC20" s="41">
        <f t="shared" si="5"/>
        <v>793649.8983</v>
      </c>
      <c r="AD20" s="41">
        <f t="shared" si="5"/>
        <v>834373.3484</v>
      </c>
      <c r="AE20" s="41">
        <f t="shared" si="5"/>
        <v>835073.5171</v>
      </c>
    </row>
    <row r="21" ht="15.75" customHeight="1">
      <c r="A21" s="38" t="s">
        <v>199</v>
      </c>
      <c r="C21" s="41">
        <f t="shared" ref="C21:AE21" si="6">C20  - $B$16 * C5</f>
        <v>-119125.0912</v>
      </c>
      <c r="D21" s="41">
        <f t="shared" si="6"/>
        <v>-137720.8014</v>
      </c>
      <c r="E21" s="41">
        <f t="shared" si="6"/>
        <v>-125092.799</v>
      </c>
      <c r="F21" s="41">
        <f t="shared" si="6"/>
        <v>-108329.3751</v>
      </c>
      <c r="G21" s="41">
        <f t="shared" si="6"/>
        <v>-103650.255</v>
      </c>
      <c r="H21" s="41">
        <f t="shared" si="6"/>
        <v>-124524.8566</v>
      </c>
      <c r="I21" s="41">
        <f t="shared" si="6"/>
        <v>-153125.1285</v>
      </c>
      <c r="J21" s="41">
        <f t="shared" si="6"/>
        <v>-155054.888</v>
      </c>
      <c r="K21" s="41">
        <f t="shared" si="6"/>
        <v>-152963.3695</v>
      </c>
      <c r="L21" s="41">
        <f t="shared" si="6"/>
        <v>-144432.3162</v>
      </c>
      <c r="M21" s="41">
        <f t="shared" si="6"/>
        <v>-116160.6311</v>
      </c>
      <c r="N21" s="41">
        <f t="shared" si="6"/>
        <v>-93780.1428</v>
      </c>
      <c r="O21" s="41">
        <f t="shared" si="6"/>
        <v>-77182.97255</v>
      </c>
      <c r="P21" s="41">
        <f t="shared" si="6"/>
        <v>-94172.97574</v>
      </c>
      <c r="Q21" s="41">
        <f t="shared" si="6"/>
        <v>-75918.37434</v>
      </c>
      <c r="R21" s="41">
        <f t="shared" si="6"/>
        <v>-41761.11116</v>
      </c>
      <c r="S21" s="41">
        <f t="shared" si="6"/>
        <v>-32687.77137</v>
      </c>
      <c r="T21" s="41">
        <f t="shared" si="6"/>
        <v>-30943.34786</v>
      </c>
      <c r="U21" s="41">
        <f t="shared" si="6"/>
        <v>-12059.54328</v>
      </c>
      <c r="V21" s="41">
        <f t="shared" si="6"/>
        <v>-2001.227242</v>
      </c>
      <c r="W21" s="41">
        <f t="shared" si="6"/>
        <v>14554.42232</v>
      </c>
      <c r="X21" s="41">
        <f t="shared" si="6"/>
        <v>26437.59833</v>
      </c>
      <c r="Y21" s="41">
        <f t="shared" si="6"/>
        <v>59283.79934</v>
      </c>
      <c r="Z21" s="41">
        <f t="shared" si="6"/>
        <v>80804.24771</v>
      </c>
      <c r="AA21" s="41">
        <f t="shared" si="6"/>
        <v>95132.03664</v>
      </c>
      <c r="AB21" s="41">
        <f t="shared" si="6"/>
        <v>105096.3085</v>
      </c>
      <c r="AC21" s="41">
        <f t="shared" si="6"/>
        <v>163064.3118</v>
      </c>
      <c r="AD21" s="41">
        <f t="shared" si="6"/>
        <v>195634.5463</v>
      </c>
      <c r="AE21" s="41">
        <f t="shared" si="6"/>
        <v>186552.9877</v>
      </c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>
        <f t="shared" ref="BZ21:DC21" si="7">BZ20  - $B$16 * BZ5</f>
        <v>-1078981.858</v>
      </c>
      <c r="CA21" s="41">
        <f t="shared" si="7"/>
        <v>-1092581.715</v>
      </c>
      <c r="CB21" s="41">
        <f t="shared" si="7"/>
        <v>-1106469.73</v>
      </c>
      <c r="CC21" s="41">
        <f t="shared" si="7"/>
        <v>-1120656.381</v>
      </c>
      <c r="CD21" s="41">
        <f t="shared" si="7"/>
        <v>-1135156.051</v>
      </c>
      <c r="CE21" s="41">
        <f t="shared" si="7"/>
        <v>-1149958.233</v>
      </c>
      <c r="CF21" s="41">
        <f t="shared" si="7"/>
        <v>-1165058.382</v>
      </c>
      <c r="CG21" s="41">
        <f t="shared" si="7"/>
        <v>-1180477.38</v>
      </c>
      <c r="CH21" s="41">
        <f t="shared" si="7"/>
        <v>-1196199.908</v>
      </c>
      <c r="CI21" s="41">
        <f t="shared" si="7"/>
        <v>-1212241.019</v>
      </c>
      <c r="CJ21" s="41">
        <f t="shared" si="7"/>
        <v>-1228580.977</v>
      </c>
      <c r="CK21" s="41">
        <f t="shared" si="7"/>
        <v>-1245212.223</v>
      </c>
      <c r="CL21" s="41">
        <f t="shared" si="7"/>
        <v>-1262100.614</v>
      </c>
      <c r="CM21" s="41">
        <f t="shared" si="7"/>
        <v>-1279230.489</v>
      </c>
      <c r="CN21" s="41">
        <f t="shared" si="7"/>
        <v>-1296567.591</v>
      </c>
      <c r="CO21" s="41">
        <f t="shared" si="7"/>
        <v>-1314112.788</v>
      </c>
      <c r="CP21" s="41">
        <f t="shared" si="7"/>
        <v>-1331866.006</v>
      </c>
      <c r="CQ21" s="41">
        <f t="shared" si="7"/>
        <v>-1349836.003</v>
      </c>
      <c r="CR21" s="41">
        <f t="shared" si="7"/>
        <v>-1368024.398</v>
      </c>
      <c r="CS21" s="41">
        <f t="shared" si="7"/>
        <v>-1386412.075</v>
      </c>
      <c r="CT21" s="41">
        <f t="shared" si="7"/>
        <v>-1405054.945</v>
      </c>
      <c r="CU21" s="41">
        <f t="shared" si="7"/>
        <v>-1423921.988</v>
      </c>
      <c r="CV21" s="41">
        <f t="shared" si="7"/>
        <v>-1443014.675</v>
      </c>
      <c r="CW21" s="41">
        <f t="shared" si="7"/>
        <v>-1462341.761</v>
      </c>
      <c r="CX21" s="41">
        <f t="shared" si="7"/>
        <v>-1481913.123</v>
      </c>
      <c r="CY21" s="41">
        <f t="shared" si="7"/>
        <v>-1501739.393</v>
      </c>
      <c r="CZ21" s="41">
        <f t="shared" si="7"/>
        <v>-1521832.599</v>
      </c>
      <c r="DA21" s="41">
        <f t="shared" si="7"/>
        <v>-1542205.293</v>
      </c>
      <c r="DB21" s="41">
        <f t="shared" si="7"/>
        <v>-1562870.614</v>
      </c>
      <c r="DC21" s="41">
        <f t="shared" si="7"/>
        <v>-1583841.918</v>
      </c>
    </row>
    <row r="22" ht="15.75" customHeight="1">
      <c r="A22" s="38"/>
    </row>
    <row r="23" ht="15.75" customHeight="1">
      <c r="A23" s="38" t="s">
        <v>200</v>
      </c>
      <c r="C23" s="41">
        <f t="shared" ref="C23:DC23" si="8"> IF(C$1&lt;=2024, (C2-C10)^2, 0)</f>
        <v>0</v>
      </c>
      <c r="D23" s="41">
        <f t="shared" si="8"/>
        <v>7324549223</v>
      </c>
      <c r="E23" s="41">
        <f t="shared" si="8"/>
        <v>8313782202</v>
      </c>
      <c r="F23" s="41">
        <f t="shared" si="8"/>
        <v>8911870831</v>
      </c>
      <c r="G23" s="41">
        <f t="shared" si="8"/>
        <v>12964070865</v>
      </c>
      <c r="H23" s="41">
        <f t="shared" si="8"/>
        <v>11205796560</v>
      </c>
      <c r="I23" s="41">
        <f t="shared" si="8"/>
        <v>7687468730</v>
      </c>
      <c r="J23" s="41">
        <f t="shared" si="8"/>
        <v>6268914072</v>
      </c>
      <c r="K23" s="41">
        <f t="shared" si="8"/>
        <v>3677541790</v>
      </c>
      <c r="L23" s="41">
        <f t="shared" si="8"/>
        <v>11493826322</v>
      </c>
      <c r="M23" s="41">
        <f t="shared" si="8"/>
        <v>17569328609</v>
      </c>
      <c r="N23" s="41">
        <f t="shared" si="8"/>
        <v>11049352650</v>
      </c>
      <c r="O23" s="41">
        <f t="shared" si="8"/>
        <v>10839501369</v>
      </c>
      <c r="P23" s="41">
        <f t="shared" si="8"/>
        <v>5801729389</v>
      </c>
      <c r="Q23" s="41">
        <f t="shared" si="8"/>
        <v>1945550990</v>
      </c>
      <c r="R23" s="41">
        <f t="shared" si="8"/>
        <v>2081522584</v>
      </c>
      <c r="S23" s="41">
        <f t="shared" si="8"/>
        <v>1510407483</v>
      </c>
      <c r="T23" s="41">
        <f t="shared" si="8"/>
        <v>399983083.7</v>
      </c>
      <c r="U23" s="41">
        <f t="shared" si="8"/>
        <v>146563.3082</v>
      </c>
      <c r="V23" s="41">
        <f t="shared" si="8"/>
        <v>203136430.7</v>
      </c>
      <c r="W23" s="41">
        <f t="shared" si="8"/>
        <v>215179995.2</v>
      </c>
      <c r="X23" s="41">
        <f t="shared" si="8"/>
        <v>91954628.86</v>
      </c>
      <c r="Y23" s="41">
        <f t="shared" si="8"/>
        <v>201838059.6</v>
      </c>
      <c r="Z23" s="41">
        <f t="shared" si="8"/>
        <v>653596428.9</v>
      </c>
      <c r="AA23" s="41">
        <f t="shared" si="8"/>
        <v>5478736842</v>
      </c>
      <c r="AB23" s="41">
        <f t="shared" si="8"/>
        <v>26986348779</v>
      </c>
      <c r="AC23" s="41">
        <f t="shared" si="8"/>
        <v>88150171440</v>
      </c>
      <c r="AD23" s="41">
        <f t="shared" si="8"/>
        <v>204653528694</v>
      </c>
      <c r="AE23" s="41">
        <f t="shared" si="8"/>
        <v>258283737832</v>
      </c>
      <c r="AF23" s="41">
        <f t="shared" si="8"/>
        <v>0</v>
      </c>
      <c r="AG23" s="41">
        <f t="shared" si="8"/>
        <v>0</v>
      </c>
      <c r="AH23" s="41">
        <f t="shared" si="8"/>
        <v>0</v>
      </c>
      <c r="AI23" s="41">
        <f t="shared" si="8"/>
        <v>0</v>
      </c>
      <c r="AJ23" s="41">
        <f t="shared" si="8"/>
        <v>0</v>
      </c>
      <c r="AK23" s="41">
        <f t="shared" si="8"/>
        <v>0</v>
      </c>
      <c r="AL23" s="41">
        <f t="shared" si="8"/>
        <v>0</v>
      </c>
      <c r="AM23" s="41">
        <f t="shared" si="8"/>
        <v>0</v>
      </c>
      <c r="AN23" s="41">
        <f t="shared" si="8"/>
        <v>0</v>
      </c>
      <c r="AO23" s="41">
        <f t="shared" si="8"/>
        <v>0</v>
      </c>
      <c r="AP23" s="41">
        <f t="shared" si="8"/>
        <v>0</v>
      </c>
      <c r="AQ23" s="41">
        <f t="shared" si="8"/>
        <v>0</v>
      </c>
      <c r="AR23" s="41">
        <f t="shared" si="8"/>
        <v>0</v>
      </c>
      <c r="AS23" s="41">
        <f t="shared" si="8"/>
        <v>0</v>
      </c>
      <c r="AT23" s="41">
        <f t="shared" si="8"/>
        <v>0</v>
      </c>
      <c r="AU23" s="41">
        <f t="shared" si="8"/>
        <v>0</v>
      </c>
      <c r="AV23" s="41">
        <f t="shared" si="8"/>
        <v>0</v>
      </c>
      <c r="AW23" s="41">
        <f t="shared" si="8"/>
        <v>0</v>
      </c>
      <c r="AX23" s="41">
        <f t="shared" si="8"/>
        <v>0</v>
      </c>
      <c r="AY23" s="41">
        <f t="shared" si="8"/>
        <v>0</v>
      </c>
      <c r="AZ23" s="41">
        <f t="shared" si="8"/>
        <v>0</v>
      </c>
      <c r="BA23" s="41">
        <f t="shared" si="8"/>
        <v>0</v>
      </c>
      <c r="BB23" s="41">
        <f t="shared" si="8"/>
        <v>0</v>
      </c>
      <c r="BC23" s="41">
        <f t="shared" si="8"/>
        <v>0</v>
      </c>
      <c r="BD23" s="41">
        <f t="shared" si="8"/>
        <v>0</v>
      </c>
      <c r="BE23" s="41">
        <f t="shared" si="8"/>
        <v>0</v>
      </c>
      <c r="BF23" s="41">
        <f t="shared" si="8"/>
        <v>0</v>
      </c>
      <c r="BG23" s="41">
        <f t="shared" si="8"/>
        <v>0</v>
      </c>
      <c r="BH23" s="41">
        <f t="shared" si="8"/>
        <v>0</v>
      </c>
      <c r="BI23" s="41">
        <f t="shared" si="8"/>
        <v>0</v>
      </c>
      <c r="BJ23" s="41">
        <f t="shared" si="8"/>
        <v>0</v>
      </c>
      <c r="BK23" s="41">
        <f t="shared" si="8"/>
        <v>0</v>
      </c>
      <c r="BL23" s="41">
        <f t="shared" si="8"/>
        <v>0</v>
      </c>
      <c r="BM23" s="41">
        <f t="shared" si="8"/>
        <v>0</v>
      </c>
      <c r="BN23" s="41">
        <f t="shared" si="8"/>
        <v>0</v>
      </c>
      <c r="BO23" s="41">
        <f t="shared" si="8"/>
        <v>0</v>
      </c>
      <c r="BP23" s="41">
        <f t="shared" si="8"/>
        <v>0</v>
      </c>
      <c r="BQ23" s="41">
        <f t="shared" si="8"/>
        <v>0</v>
      </c>
      <c r="BR23" s="41">
        <f t="shared" si="8"/>
        <v>0</v>
      </c>
      <c r="BS23" s="41">
        <f t="shared" si="8"/>
        <v>0</v>
      </c>
      <c r="BT23" s="41">
        <f t="shared" si="8"/>
        <v>0</v>
      </c>
      <c r="BU23" s="41">
        <f t="shared" si="8"/>
        <v>0</v>
      </c>
      <c r="BV23" s="41">
        <f t="shared" si="8"/>
        <v>0</v>
      </c>
      <c r="BW23" s="41">
        <f t="shared" si="8"/>
        <v>0</v>
      </c>
      <c r="BX23" s="41">
        <f t="shared" si="8"/>
        <v>0</v>
      </c>
      <c r="BY23" s="41">
        <f t="shared" si="8"/>
        <v>0</v>
      </c>
      <c r="BZ23" s="41">
        <f t="shared" si="8"/>
        <v>0</v>
      </c>
      <c r="CA23" s="41">
        <f t="shared" si="8"/>
        <v>0</v>
      </c>
      <c r="CB23" s="41">
        <f t="shared" si="8"/>
        <v>0</v>
      </c>
      <c r="CC23" s="41">
        <f t="shared" si="8"/>
        <v>0</v>
      </c>
      <c r="CD23" s="41">
        <f t="shared" si="8"/>
        <v>0</v>
      </c>
      <c r="CE23" s="41">
        <f t="shared" si="8"/>
        <v>0</v>
      </c>
      <c r="CF23" s="41">
        <f t="shared" si="8"/>
        <v>0</v>
      </c>
      <c r="CG23" s="41">
        <f t="shared" si="8"/>
        <v>0</v>
      </c>
      <c r="CH23" s="41">
        <f t="shared" si="8"/>
        <v>0</v>
      </c>
      <c r="CI23" s="41">
        <f t="shared" si="8"/>
        <v>0</v>
      </c>
      <c r="CJ23" s="41">
        <f t="shared" si="8"/>
        <v>0</v>
      </c>
      <c r="CK23" s="41">
        <f t="shared" si="8"/>
        <v>0</v>
      </c>
      <c r="CL23" s="41">
        <f t="shared" si="8"/>
        <v>0</v>
      </c>
      <c r="CM23" s="41">
        <f t="shared" si="8"/>
        <v>0</v>
      </c>
      <c r="CN23" s="41">
        <f t="shared" si="8"/>
        <v>0</v>
      </c>
      <c r="CO23" s="41">
        <f t="shared" si="8"/>
        <v>0</v>
      </c>
      <c r="CP23" s="41">
        <f t="shared" si="8"/>
        <v>0</v>
      </c>
      <c r="CQ23" s="41">
        <f t="shared" si="8"/>
        <v>0</v>
      </c>
      <c r="CR23" s="41">
        <f t="shared" si="8"/>
        <v>0</v>
      </c>
      <c r="CS23" s="41">
        <f t="shared" si="8"/>
        <v>0</v>
      </c>
      <c r="CT23" s="41">
        <f t="shared" si="8"/>
        <v>0</v>
      </c>
      <c r="CU23" s="41">
        <f t="shared" si="8"/>
        <v>0</v>
      </c>
      <c r="CV23" s="41">
        <f t="shared" si="8"/>
        <v>0</v>
      </c>
      <c r="CW23" s="41">
        <f t="shared" si="8"/>
        <v>0</v>
      </c>
      <c r="CX23" s="41">
        <f t="shared" si="8"/>
        <v>0</v>
      </c>
      <c r="CY23" s="41">
        <f t="shared" si="8"/>
        <v>0</v>
      </c>
      <c r="CZ23" s="41">
        <f t="shared" si="8"/>
        <v>0</v>
      </c>
      <c r="DA23" s="41">
        <f t="shared" si="8"/>
        <v>0</v>
      </c>
      <c r="DB23" s="41">
        <f t="shared" si="8"/>
        <v>0</v>
      </c>
      <c r="DC23" s="41">
        <f t="shared" si="8"/>
        <v>0</v>
      </c>
    </row>
    <row r="24" ht="15.75" customHeight="1">
      <c r="A24" s="38" t="s">
        <v>201</v>
      </c>
      <c r="B24" s="41">
        <f>SUM(C23:DC23)</f>
        <v>713963572446</v>
      </c>
    </row>
    <row r="25" ht="15.75" customHeight="1">
      <c r="A25" s="38" t="s">
        <v>202</v>
      </c>
      <c r="B25" s="41">
        <f>-0.00843</f>
        <v>-0.00843</v>
      </c>
    </row>
    <row r="26" ht="15.75" customHeight="1">
      <c r="A26" s="38"/>
    </row>
    <row r="27" ht="15.0" customHeight="1"/>
    <row r="28" ht="15.75" customHeight="1">
      <c r="F28" s="41">
        <v>0.0</v>
      </c>
      <c r="G28" s="45" t="s">
        <v>203</v>
      </c>
      <c r="H28" s="46">
        <v>1.0</v>
      </c>
    </row>
    <row r="29" ht="15.75" customHeight="1">
      <c r="A29" s="41" t="s">
        <v>204</v>
      </c>
      <c r="B29" s="41" t="s">
        <v>205</v>
      </c>
      <c r="F29" s="41">
        <v>0.02</v>
      </c>
      <c r="G29" s="45" t="s">
        <v>194</v>
      </c>
      <c r="H29" s="46">
        <v>0.08</v>
      </c>
    </row>
    <row r="30" ht="15.75" customHeight="1">
      <c r="A30" s="41" t="s">
        <v>189</v>
      </c>
      <c r="B30" s="41" t="s">
        <v>192</v>
      </c>
      <c r="F30" s="41">
        <v>0.1</v>
      </c>
      <c r="G30" s="45" t="s">
        <v>195</v>
      </c>
      <c r="H30" s="46">
        <v>0.3</v>
      </c>
    </row>
    <row r="31" ht="15.75" customHeight="1">
      <c r="A31" s="41" t="s">
        <v>190</v>
      </c>
      <c r="B31" s="41" t="s">
        <v>193</v>
      </c>
      <c r="F31" s="41">
        <v>0.0</v>
      </c>
      <c r="G31" s="45" t="s">
        <v>188</v>
      </c>
      <c r="H31" s="46">
        <v>0.02</v>
      </c>
    </row>
    <row r="32" ht="15.75" customHeight="1">
      <c r="A32" s="41" t="s">
        <v>206</v>
      </c>
      <c r="B32" s="41" t="s">
        <v>181</v>
      </c>
    </row>
    <row r="33" ht="15.75" customHeight="1"/>
    <row r="34" ht="15.75" customHeight="1">
      <c r="C34" s="43">
        <v>1008034.0</v>
      </c>
    </row>
    <row r="35" ht="15.75" customHeight="1">
      <c r="C35" s="43">
        <v>476926.0</v>
      </c>
    </row>
    <row r="36" ht="15.75" customHeight="1">
      <c r="C36" s="43">
        <v>286371.0</v>
      </c>
    </row>
    <row r="37" ht="15.75" customHeight="1">
      <c r="C37" s="43">
        <v>243325.0</v>
      </c>
    </row>
    <row r="38" ht="15.75" customHeight="1">
      <c r="C38" s="43">
        <v>201432.0</v>
      </c>
      <c r="Z38" s="7">
        <v>4.141397492390286E7</v>
      </c>
    </row>
    <row r="39" ht="15.75" customHeight="1">
      <c r="C39" s="43">
        <v>155114.0</v>
      </c>
      <c r="Z39" s="7">
        <v>4.143416022378218E7</v>
      </c>
    </row>
    <row r="40" ht="15.75" customHeight="1">
      <c r="C40" s="43">
        <v>160622.0</v>
      </c>
      <c r="Z40" s="7">
        <v>4.125391478408329E7</v>
      </c>
    </row>
    <row r="41" ht="15.75" customHeight="1">
      <c r="C41" s="43">
        <v>162143.0</v>
      </c>
      <c r="Z41" s="7">
        <v>4.101545789186061E7</v>
      </c>
    </row>
    <row r="42" ht="15.75" customHeight="1">
      <c r="C42" s="43">
        <v>162228.0</v>
      </c>
      <c r="Z42" s="7">
        <v>4.07113009169617E7</v>
      </c>
    </row>
    <row r="43" ht="15.75" customHeight="1">
      <c r="C43" s="43">
        <v>162178.0</v>
      </c>
      <c r="Z43" s="7">
        <v>4.037128974095422E7</v>
      </c>
    </row>
    <row r="44" ht="15.75" customHeight="1">
      <c r="C44" s="43">
        <v>162151.0</v>
      </c>
      <c r="Z44" s="7">
        <v>4.001252050011641E7</v>
      </c>
    </row>
    <row r="45" ht="15.75" customHeight="1">
      <c r="C45" s="43">
        <v>162009.0</v>
      </c>
      <c r="Z45" s="7">
        <v>3.9634114130443655E7</v>
      </c>
    </row>
    <row r="46" ht="15.75" customHeight="1">
      <c r="C46" s="43">
        <v>183408.0</v>
      </c>
      <c r="Z46" s="7">
        <v>3.929332838294532E7</v>
      </c>
    </row>
    <row r="47" ht="15.75" customHeight="1">
      <c r="C47" s="43">
        <v>177584.0</v>
      </c>
      <c r="Z47" s="7">
        <v>3.894736362157081E7</v>
      </c>
    </row>
    <row r="48" ht="15.75" customHeight="1">
      <c r="C48" s="43">
        <v>173236.0</v>
      </c>
      <c r="Z48" s="7">
        <v>3.864803901078023E7</v>
      </c>
    </row>
    <row r="49" ht="15.75" customHeight="1">
      <c r="C49" s="43">
        <v>170095.0</v>
      </c>
      <c r="Z49" s="7">
        <v>3.838237674622636E7</v>
      </c>
    </row>
    <row r="50" ht="15.75" customHeight="1">
      <c r="C50" s="43">
        <v>167799.0</v>
      </c>
      <c r="Z50" s="7">
        <v>3.8208641355995536E7</v>
      </c>
    </row>
    <row r="51" ht="15.75" customHeight="1">
      <c r="C51" s="43">
        <v>167291.0</v>
      </c>
      <c r="Z51" s="7">
        <v>3.810869177867197E7</v>
      </c>
    </row>
    <row r="52" ht="15.75" customHeight="1">
      <c r="C52" s="43">
        <v>166817.0</v>
      </c>
      <c r="Z52" s="7">
        <v>3.806314050642582E7</v>
      </c>
    </row>
    <row r="53" ht="15.75" customHeight="1">
      <c r="C53" s="43">
        <v>166356.0</v>
      </c>
      <c r="Z53" s="7">
        <v>3.808986985730546E7</v>
      </c>
    </row>
    <row r="54" ht="15.75" customHeight="1">
      <c r="C54" s="43">
        <v>166289.0</v>
      </c>
      <c r="Z54" s="7">
        <v>3.81725607544405E7</v>
      </c>
    </row>
    <row r="55" ht="15.75" customHeight="1">
      <c r="C55" s="43">
        <v>166591.0</v>
      </c>
      <c r="Z55" s="7">
        <v>3.825076179070674E7</v>
      </c>
    </row>
    <row r="56" ht="15.75" customHeight="1">
      <c r="C56" s="43">
        <v>167015.0</v>
      </c>
      <c r="Z56" s="7">
        <v>3.833350493409866E7</v>
      </c>
    </row>
    <row r="57" ht="15.75" customHeight="1">
      <c r="C57" s="43">
        <v>170371.0</v>
      </c>
      <c r="Z57" s="7">
        <v>3.840664222997611E7</v>
      </c>
    </row>
    <row r="58" ht="15.75" customHeight="1">
      <c r="C58" s="43">
        <v>170419.0</v>
      </c>
      <c r="Z58" s="7">
        <v>3.842325571035747E7</v>
      </c>
    </row>
    <row r="59" ht="15.75" customHeight="1">
      <c r="C59" s="43">
        <v>171392.0</v>
      </c>
      <c r="Z59" s="7">
        <v>3.84513393173876E7</v>
      </c>
    </row>
    <row r="60" ht="15.75" customHeight="1">
      <c r="C60" s="43">
        <v>170387.0</v>
      </c>
      <c r="Z60" s="7">
        <v>3.84660196862645E7</v>
      </c>
    </row>
    <row r="61" ht="15.75" customHeight="1">
      <c r="C61" s="43">
        <v>170647.0</v>
      </c>
      <c r="Z61" s="7">
        <v>3.843574671227951E7</v>
      </c>
    </row>
    <row r="62" ht="15.75" customHeight="1">
      <c r="C62" s="43">
        <v>171497.0</v>
      </c>
      <c r="Z62" s="7">
        <v>3.8401109931886755E7</v>
      </c>
    </row>
    <row r="63" ht="15.75" customHeight="1">
      <c r="C63" s="43">
        <v>173820.0</v>
      </c>
      <c r="Z63" s="7">
        <v>3.835136320228277E7</v>
      </c>
    </row>
    <row r="64" ht="15.75" customHeight="1">
      <c r="C64" s="43">
        <v>175379.0</v>
      </c>
      <c r="Z64" s="7">
        <v>3.83078221669679E7</v>
      </c>
    </row>
    <row r="65" ht="15.75" customHeight="1">
      <c r="C65" s="43">
        <v>177484.0</v>
      </c>
      <c r="Z65" s="7">
        <v>3.825583382415218E7</v>
      </c>
    </row>
    <row r="66" ht="15.75" customHeight="1">
      <c r="C66" s="43">
        <v>175821.0</v>
      </c>
      <c r="Z66" s="7">
        <v>3.818849918001078E7</v>
      </c>
    </row>
    <row r="67" ht="15.75" customHeight="1">
      <c r="C67" s="43">
        <v>176799.0</v>
      </c>
      <c r="Z67" s="7">
        <v>3.8089206412773676E7</v>
      </c>
    </row>
    <row r="68" ht="15.75" customHeight="1">
      <c r="C68" s="43">
        <v>170832.0</v>
      </c>
      <c r="Z68" s="7">
        <v>3.7966058668090865E7</v>
      </c>
    </row>
    <row r="69" ht="15.75" customHeight="1">
      <c r="C69" s="43">
        <v>168705.0</v>
      </c>
      <c r="Z69" s="7">
        <v>3.781255087232826E7</v>
      </c>
    </row>
    <row r="70" ht="15.75" customHeight="1">
      <c r="C70" s="43">
        <v>167695.0</v>
      </c>
      <c r="Z70" s="7">
        <v>3.767026524082067E7</v>
      </c>
    </row>
    <row r="71" ht="15.75" customHeight="1">
      <c r="C71" s="43">
        <v>165835.0</v>
      </c>
      <c r="Z71" s="7">
        <v>3.750932271977384E7</v>
      </c>
    </row>
    <row r="72" ht="15.75" customHeight="1">
      <c r="C72" s="43">
        <v>165082.0</v>
      </c>
      <c r="Z72" s="7">
        <v>3.740653111193728E7</v>
      </c>
    </row>
    <row r="73" ht="15.75" customHeight="1">
      <c r="C73" s="43">
        <v>166202.0</v>
      </c>
      <c r="Z73" s="7">
        <v>3.7318795548443735E7</v>
      </c>
    </row>
    <row r="74" ht="15.75" customHeight="1">
      <c r="C74" s="43">
        <v>166787.0</v>
      </c>
      <c r="Z74" s="7">
        <v>3.723390201546319E7</v>
      </c>
    </row>
    <row r="75" ht="15.75" customHeight="1">
      <c r="C75" s="43">
        <v>164297.0</v>
      </c>
      <c r="Z75" s="7">
        <v>3.716157992705416E7</v>
      </c>
    </row>
    <row r="76" ht="15.75" customHeight="1">
      <c r="C76" s="43">
        <v>162878.0</v>
      </c>
      <c r="Z76" s="7">
        <v>3.708979108218755E7</v>
      </c>
    </row>
    <row r="77" ht="15.75" customHeight="1">
      <c r="C77" s="43">
        <v>161965.0</v>
      </c>
      <c r="Z77" s="7">
        <v>3.699843808738449E7</v>
      </c>
    </row>
    <row r="78" ht="15.75" customHeight="1">
      <c r="C78" s="43">
        <v>158712.0</v>
      </c>
      <c r="Z78" s="7">
        <v>3.689416948615906E7</v>
      </c>
    </row>
    <row r="79" ht="15.75" customHeight="1">
      <c r="C79" s="43">
        <v>156918.0</v>
      </c>
      <c r="Z79" s="7">
        <v>3.6811547421394184E7</v>
      </c>
    </row>
    <row r="80" ht="15.75" customHeight="1">
      <c r="C80" s="43">
        <v>155717.0</v>
      </c>
      <c r="Z80" s="7">
        <v>3.6739316556608275E7</v>
      </c>
    </row>
    <row r="81" ht="15.75" customHeight="1">
      <c r="C81" s="43">
        <v>155288.0</v>
      </c>
      <c r="Z81" s="7">
        <v>3.6672683505059235E7</v>
      </c>
    </row>
    <row r="82" ht="15.75" customHeight="1">
      <c r="C82" s="43">
        <v>154795.0</v>
      </c>
      <c r="Z82" s="7">
        <v>3.663803013855319E7</v>
      </c>
    </row>
    <row r="83" ht="15.75" customHeight="1">
      <c r="C83" s="43">
        <v>154019.0</v>
      </c>
      <c r="Z83" s="7">
        <v>3.6619691702389196E7</v>
      </c>
    </row>
    <row r="84" ht="15.75" customHeight="1">
      <c r="C84" s="43">
        <v>154008.0</v>
      </c>
      <c r="Z84" s="7">
        <v>3.661180168829504E7</v>
      </c>
    </row>
    <row r="85" ht="15.75" customHeight="1">
      <c r="C85" s="43">
        <v>154055.0</v>
      </c>
      <c r="Z85" s="7">
        <v>3.660597581600037E7</v>
      </c>
    </row>
    <row r="86" ht="15.75" customHeight="1">
      <c r="C86" s="43">
        <v>152711.0</v>
      </c>
      <c r="Z86" s="7">
        <v>3.6606991715439655E7</v>
      </c>
    </row>
    <row r="87" ht="15.75" customHeight="1">
      <c r="C87" s="43">
        <v>153372.0</v>
      </c>
      <c r="Z87" s="7">
        <v>3.6617776835609354E7</v>
      </c>
    </row>
    <row r="88" ht="15.75" customHeight="1">
      <c r="C88" s="43">
        <v>152186.0</v>
      </c>
      <c r="Z88" s="7">
        <v>3.661849999014899E7</v>
      </c>
    </row>
    <row r="89" ht="15.75" customHeight="1">
      <c r="C89" s="43">
        <v>153295.0</v>
      </c>
      <c r="Z89" s="7">
        <v>3.661384758536991E7</v>
      </c>
    </row>
    <row r="90" ht="15.75" customHeight="1">
      <c r="C90" s="43">
        <v>153562.0</v>
      </c>
      <c r="Z90" s="7">
        <v>3.662326600980415E7</v>
      </c>
    </row>
    <row r="91" ht="15.75" customHeight="1">
      <c r="C91" s="43">
        <v>155501.0</v>
      </c>
      <c r="Z91" s="7">
        <v>3.661917006912609E7</v>
      </c>
    </row>
    <row r="92" ht="15.75" customHeight="1">
      <c r="C92" s="43">
        <v>156194.0</v>
      </c>
      <c r="Z92" s="7">
        <v>3.6624249566322505E7</v>
      </c>
    </row>
    <row r="93" ht="15.75" customHeight="1">
      <c r="C93" s="43">
        <v>157991.0</v>
      </c>
      <c r="Z93" s="7">
        <v>3.6612813441206E7</v>
      </c>
    </row>
    <row r="94" ht="15.75" customHeight="1">
      <c r="C94" s="43">
        <v>157534.0</v>
      </c>
      <c r="Z94" s="7">
        <v>3.6593839756902836E7</v>
      </c>
    </row>
    <row r="95" ht="15.75" customHeight="1">
      <c r="C95" s="43">
        <v>157089.0</v>
      </c>
      <c r="Z95" s="7">
        <v>3.654849995760118E7</v>
      </c>
    </row>
    <row r="96" ht="15.75" customHeight="1">
      <c r="C96" s="43">
        <v>156079.0</v>
      </c>
      <c r="Z96" s="7">
        <v>3.649013176630676E7</v>
      </c>
    </row>
    <row r="97" ht="15.75" customHeight="1">
      <c r="C97" s="43">
        <v>155461.0</v>
      </c>
      <c r="Z97" s="7">
        <v>3.6406116468025155E7</v>
      </c>
    </row>
    <row r="98" ht="15.75" customHeight="1">
      <c r="C98" s="43">
        <v>156039.0</v>
      </c>
      <c r="Z98" s="7">
        <v>3.632072701025711E7</v>
      </c>
    </row>
    <row r="99" ht="15.75" customHeight="1">
      <c r="C99" s="43">
        <v>152298.0</v>
      </c>
      <c r="Z99" s="7">
        <v>3.623334307236541E7</v>
      </c>
    </row>
    <row r="100" ht="15.75" customHeight="1">
      <c r="C100" s="43">
        <v>153486.0</v>
      </c>
      <c r="Z100" s="7">
        <v>3.6149796331784375E7</v>
      </c>
    </row>
    <row r="101" ht="15.75" customHeight="1">
      <c r="C101" s="43">
        <v>152869.0</v>
      </c>
      <c r="Z101" s="7">
        <v>3.606537550303272E7</v>
      </c>
    </row>
    <row r="102" ht="15.75" customHeight="1">
      <c r="C102" s="43">
        <v>151849.0</v>
      </c>
      <c r="Z102" s="7">
        <v>3.596686228312046E7</v>
      </c>
    </row>
    <row r="103" ht="15.75" customHeight="1">
      <c r="C103" s="43">
        <v>150787.0</v>
      </c>
      <c r="Z103" s="7">
        <v>3.5901605878974855E7</v>
      </c>
    </row>
    <row r="104" ht="15.75" customHeight="1">
      <c r="C104" s="43">
        <v>149708.0</v>
      </c>
      <c r="Z104" s="7">
        <v>3.581523618191111E7</v>
      </c>
    </row>
    <row r="105" ht="15.75" customHeight="1">
      <c r="C105" s="43">
        <v>148606.0</v>
      </c>
      <c r="Z105" s="7">
        <v>3.572789868513663E7</v>
      </c>
    </row>
    <row r="106" ht="15.75" customHeight="1">
      <c r="C106" s="43">
        <v>147510.0</v>
      </c>
      <c r="Z106" s="7">
        <v>3.564396217089318E7</v>
      </c>
    </row>
    <row r="107" ht="15.75" customHeight="1">
      <c r="C107" s="43">
        <v>146444.0</v>
      </c>
      <c r="Z107" s="7">
        <v>3.5564010470368706E7</v>
      </c>
    </row>
    <row r="108" ht="15.75" customHeight="1">
      <c r="C108" s="43">
        <v>145400.0</v>
      </c>
      <c r="Z108" s="7">
        <v>3.548839355055374E7</v>
      </c>
    </row>
    <row r="109" ht="15.75" customHeight="1">
      <c r="C109" s="43">
        <v>144409.0</v>
      </c>
      <c r="Z109" s="7">
        <v>3.5417811345429294E7</v>
      </c>
    </row>
    <row r="110" ht="15.75" customHeight="1">
      <c r="C110" s="43">
        <v>143479.0</v>
      </c>
      <c r="Z110" s="7">
        <v>3.535244713154728E7</v>
      </c>
    </row>
    <row r="111" ht="15.75" customHeight="1">
      <c r="C111" s="43">
        <v>142639.0</v>
      </c>
      <c r="Z111" s="7">
        <v>3.529250657671254E7</v>
      </c>
    </row>
    <row r="112" ht="15.75" customHeight="1">
      <c r="C112" s="43">
        <v>141870.0</v>
      </c>
      <c r="Z112" s="7">
        <v>3.523798553439676E7</v>
      </c>
    </row>
    <row r="113" ht="15.75" customHeight="1">
      <c r="Z113" s="7">
        <v>3.518877370694652E7</v>
      </c>
    </row>
    <row r="114" ht="15.75" customHeight="1">
      <c r="Z114" s="7">
        <v>3.5144609033771776E7</v>
      </c>
    </row>
    <row r="115" ht="15.75" customHeight="1">
      <c r="Z115" s="7">
        <v>3.510487534076364E7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tr">
        <f>ModelSheet=Эконом рост!A:Z</f>
        <v>#ERROR!</v>
      </c>
    </row>
    <row r="2">
      <c r="A2" s="2" t="str">
        <f>OpenSolver_AdjNum=6</f>
        <v>#NAME?</v>
      </c>
    </row>
    <row r="3">
      <c r="A3" s="2" t="str">
        <f>OpenSolver_ChosenSolver=NeosCBC</f>
        <v>#NAME?</v>
      </c>
    </row>
    <row r="4">
      <c r="A4" s="2" t="str">
        <f>OpenSolver_FastBuild=0</f>
        <v>#NAME?</v>
      </c>
    </row>
    <row r="5">
      <c r="A5" s="2" t="str">
        <f>OpenSolver_LinearityCheck=1</f>
        <v>#NAME?</v>
      </c>
    </row>
    <row r="6">
      <c r="A6" s="2" t="str">
        <f>solver_adj=Эконом рост!B8</f>
        <v>#ERROR!</v>
      </c>
    </row>
    <row r="7">
      <c r="A7" s="2" t="str">
        <f>solver_adj1=Эконом рост!B9</f>
        <v>#ERROR!</v>
      </c>
    </row>
    <row r="8">
      <c r="A8" s="2" t="str">
        <f>solver_adj2=Эконом рост!B16</f>
        <v>#ERROR!</v>
      </c>
    </row>
    <row r="9">
      <c r="A9" s="2" t="str">
        <f>solver_adj3=Эконом рост!B17</f>
        <v>#ERROR!</v>
      </c>
    </row>
    <row r="10">
      <c r="A10" s="2" t="str">
        <f>solver_adj4=Эконом рост!C5</f>
        <v>#ERROR!</v>
      </c>
    </row>
    <row r="11">
      <c r="A11" s="2" t="str">
        <f>solver_adj5=Эконом рост!B7</f>
        <v>#ERROR!</v>
      </c>
    </row>
    <row r="12">
      <c r="A12" s="2" t="str">
        <f>solver_lhs1=Эконом рост!B8</f>
        <v>#ERROR!</v>
      </c>
    </row>
    <row r="13">
      <c r="A13" s="2" t="str">
        <f>solver_lhs10=Эконом рост!B7</f>
        <v>#ERROR!</v>
      </c>
    </row>
    <row r="14">
      <c r="A14" s="2" t="str">
        <f>solver_lhs2=Эконом рост!B8</f>
        <v>#ERROR!</v>
      </c>
    </row>
    <row r="15">
      <c r="A15" s="2" t="str">
        <f>solver_lhs3=Эконом рост!B9</f>
        <v>#ERROR!</v>
      </c>
    </row>
    <row r="16">
      <c r="A16" s="2" t="str">
        <f>solver_lhs4=Эконом рост!B9</f>
        <v>#ERROR!</v>
      </c>
    </row>
    <row r="17">
      <c r="A17" s="2" t="str">
        <f>solver_lhs5=Эконом рост!B16</f>
        <v>#ERROR!</v>
      </c>
    </row>
    <row r="18">
      <c r="A18" s="2" t="str">
        <f>solver_lhs6=Эконом рост!B16</f>
        <v>#ERROR!</v>
      </c>
    </row>
    <row r="19">
      <c r="A19" s="2" t="str">
        <f>solver_lhs7=Эконом рост!B17</f>
        <v>#ERROR!</v>
      </c>
    </row>
    <row r="20">
      <c r="A20" s="2" t="str">
        <f>solver_lhs8=Эконом рост!B17</f>
        <v>#ERROR!</v>
      </c>
    </row>
    <row r="21">
      <c r="A21" s="2" t="str">
        <f>solver_lhs9=Эконом рост!B7</f>
        <v>#ERROR!</v>
      </c>
    </row>
    <row r="22">
      <c r="A22" s="2" t="str">
        <f>solver_neg=1</f>
        <v>#NAME?</v>
      </c>
    </row>
    <row r="23">
      <c r="A23" s="2" t="str">
        <f>solver_num=10</f>
        <v>#NAME?</v>
      </c>
    </row>
    <row r="24">
      <c r="A24" s="2" t="str">
        <f>solver_opt=Эконом рост!B24</f>
        <v>#ERROR!</v>
      </c>
    </row>
    <row r="25">
      <c r="A25" s="2" t="str">
        <f>solver_rel1=1</f>
        <v>#NAME?</v>
      </c>
    </row>
    <row r="26">
      <c r="A26" s="2" t="str">
        <f>solver_rel10=3</f>
        <v>#NAME?</v>
      </c>
    </row>
    <row r="27">
      <c r="A27" s="2" t="str">
        <f>solver_rel2=3</f>
        <v>#NAME?</v>
      </c>
    </row>
    <row r="28">
      <c r="A28" s="2" t="str">
        <f>solver_rel3=1</f>
        <v>#NAME?</v>
      </c>
    </row>
    <row r="29">
      <c r="A29" s="2" t="str">
        <f>solver_rel4=3</f>
        <v>#NAME?</v>
      </c>
    </row>
    <row r="30">
      <c r="A30" s="2" t="str">
        <f>solver_rel5=3</f>
        <v>#NAME?</v>
      </c>
    </row>
    <row r="31">
      <c r="A31" s="2" t="str">
        <f>solver_rel6=1</f>
        <v>#NAME?</v>
      </c>
    </row>
    <row r="32">
      <c r="A32" s="2" t="str">
        <f>solver_rel7=1</f>
        <v>#NAME?</v>
      </c>
    </row>
    <row r="33">
      <c r="A33" s="2" t="str">
        <f>solver_rel8=3</f>
        <v>#NAME?</v>
      </c>
    </row>
    <row r="34">
      <c r="A34" s="2" t="str">
        <f>solver_rel9=1</f>
        <v>#NAME?</v>
      </c>
    </row>
    <row r="35">
      <c r="A35" s="2" t="str">
        <f>solver_rhs1=Эконом рост!H28</f>
        <v>#ERROR!</v>
      </c>
    </row>
    <row r="36">
      <c r="A36" s="2" t="str">
        <f>solver_rhs10=Эконом рост!F31</f>
        <v>#ERROR!</v>
      </c>
    </row>
    <row r="37">
      <c r="A37" s="2" t="str">
        <f>solver_rhs2=Эконом рост!F28</f>
        <v>#ERROR!</v>
      </c>
    </row>
    <row r="38">
      <c r="A38" s="2" t="str">
        <f>solver_rhs3=Эконом рост!H28</f>
        <v>#ERROR!</v>
      </c>
    </row>
    <row r="39">
      <c r="A39" s="2" t="str">
        <f>solver_rhs4=Эконом рост!F28</f>
        <v>#ERROR!</v>
      </c>
    </row>
    <row r="40">
      <c r="A40" s="2" t="str">
        <f>solver_rhs5=Эконом рост!F29</f>
        <v>#ERROR!</v>
      </c>
    </row>
    <row r="41">
      <c r="A41" s="2" t="str">
        <f>solver_rhs6=Эконом рост!H29</f>
        <v>#ERROR!</v>
      </c>
    </row>
    <row r="42">
      <c r="A42" s="2" t="str">
        <f>solver_rhs7=Эконом рост!H30</f>
        <v>#ERROR!</v>
      </c>
    </row>
    <row r="43">
      <c r="A43" s="2" t="str">
        <f>solver_rhs8=Эконом рост!F30</f>
        <v>#ERROR!</v>
      </c>
    </row>
    <row r="44">
      <c r="A44" s="2" t="str">
        <f>solver_rhs9=Эконом рост!H31</f>
        <v>#ERROR!</v>
      </c>
    </row>
    <row r="45">
      <c r="A45" s="2" t="str">
        <f>solver_sho=1</f>
        <v>#NAME?</v>
      </c>
    </row>
    <row r="46">
      <c r="A46" s="2" t="str">
        <f>solver_typ=2</f>
        <v>#NAME?</v>
      </c>
    </row>
    <row r="47">
      <c r="A47" s="2" t="str">
        <f>solver_val=0</f>
        <v>#NAME?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8.63"/>
    <col customWidth="1" min="3" max="5" width="7.0"/>
    <col customWidth="1" min="7" max="7" width="9.75"/>
    <col customWidth="1" min="8" max="8" width="10.25"/>
    <col customWidth="1" min="9" max="12" width="7.63"/>
    <col customWidth="1" min="13" max="13" width="11.63"/>
    <col customWidth="1" min="14" max="14" width="10.25"/>
    <col customWidth="1" min="15" max="15" width="11.25"/>
    <col customWidth="1" min="16" max="16" width="7.63"/>
    <col customWidth="1" min="17" max="17" width="10.25"/>
    <col customWidth="1" min="18" max="18" width="9.75"/>
    <col customWidth="1" min="19" max="19" width="10.25"/>
    <col customWidth="1" min="20" max="21" width="13.13"/>
    <col customWidth="1" min="22" max="22" width="13.63"/>
    <col customWidth="1" min="23" max="23" width="7.63"/>
    <col customWidth="1" min="24" max="24" width="15.63"/>
    <col customWidth="1" min="25" max="25" width="15.5"/>
    <col customWidth="1" min="26" max="26" width="10.25"/>
    <col customWidth="1" min="27" max="45" width="7.63"/>
  </cols>
  <sheetData>
    <row r="1">
      <c r="A1" s="47"/>
      <c r="B1" s="48" t="s">
        <v>207</v>
      </c>
      <c r="C1" s="49"/>
      <c r="D1" s="48" t="s">
        <v>208</v>
      </c>
      <c r="E1" s="49"/>
      <c r="G1" s="50" t="s">
        <v>209</v>
      </c>
      <c r="H1" s="51"/>
      <c r="I1" s="49"/>
      <c r="J1" s="49"/>
      <c r="K1" s="49"/>
      <c r="L1" s="49"/>
      <c r="M1" s="52" t="s">
        <v>210</v>
      </c>
      <c r="N1" s="52" t="s">
        <v>211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53"/>
      <c r="AU1" s="53"/>
    </row>
    <row r="2">
      <c r="A2" s="54" t="s">
        <v>212</v>
      </c>
      <c r="B2" s="55" t="s">
        <v>213</v>
      </c>
      <c r="C2" s="55" t="s">
        <v>214</v>
      </c>
      <c r="D2" s="55" t="s">
        <v>215</v>
      </c>
      <c r="E2" s="56" t="s">
        <v>216</v>
      </c>
      <c r="F2" s="56" t="s">
        <v>217</v>
      </c>
      <c r="G2" s="56" t="s">
        <v>218</v>
      </c>
      <c r="H2" s="56" t="s">
        <v>219</v>
      </c>
      <c r="I2" s="56"/>
      <c r="J2" s="56" t="s">
        <v>220</v>
      </c>
      <c r="K2" s="56" t="s">
        <v>221</v>
      </c>
      <c r="L2" s="56" t="s">
        <v>222</v>
      </c>
      <c r="M2" s="56" t="s">
        <v>223</v>
      </c>
      <c r="N2" s="56" t="s">
        <v>224</v>
      </c>
      <c r="O2" s="56" t="s">
        <v>225</v>
      </c>
      <c r="P2" s="56" t="s">
        <v>218</v>
      </c>
      <c r="Q2" s="56" t="s">
        <v>219</v>
      </c>
      <c r="R2" s="56" t="s">
        <v>226</v>
      </c>
      <c r="S2" s="56" t="s">
        <v>227</v>
      </c>
      <c r="T2" s="56"/>
      <c r="U2" s="56" t="s">
        <v>228</v>
      </c>
      <c r="V2" s="56" t="s">
        <v>229</v>
      </c>
      <c r="W2" s="56" t="s">
        <v>230</v>
      </c>
      <c r="X2" s="56" t="s">
        <v>231</v>
      </c>
      <c r="Y2" s="56" t="s">
        <v>232</v>
      </c>
      <c r="Z2" s="56" t="s">
        <v>233</v>
      </c>
      <c r="AA2" s="56" t="s">
        <v>234</v>
      </c>
      <c r="AB2" s="56" t="s">
        <v>202</v>
      </c>
      <c r="AC2" s="56" t="s">
        <v>235</v>
      </c>
      <c r="AD2" s="56" t="s">
        <v>236</v>
      </c>
      <c r="AE2" s="55" t="s">
        <v>237</v>
      </c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</row>
    <row r="3">
      <c r="A3" s="54">
        <v>2022.0</v>
      </c>
      <c r="B3" s="13">
        <v>4.936671E7</v>
      </c>
      <c r="C3" s="13"/>
      <c r="D3" s="57">
        <v>1008034.0</v>
      </c>
      <c r="E3" s="13"/>
      <c r="G3" s="31">
        <f>B3*AVERAGE('Рынок труда'!$S$3:$S$32)</f>
        <v>40940092.25</v>
      </c>
      <c r="H3" s="31">
        <f>(1-'Рынок труда'!M34)*G3</f>
        <v>-81880184.5</v>
      </c>
      <c r="I3" s="31"/>
      <c r="J3" s="31">
        <f>'Рынок труда'!S30*(1-'Рынок труда'!L30/100)</f>
        <v>0.8307411872</v>
      </c>
      <c r="K3" s="31">
        <f>AVERAGE(J3:J5)</f>
        <v>0.8328439232</v>
      </c>
      <c r="L3" s="31">
        <f>AVERAGE('Рынок труда'!M30:M32)/100</f>
        <v>0.03178333333</v>
      </c>
      <c r="M3" s="31">
        <f>'Рынок труда'!B30/('Рынок труда'!B30+'Рынок труда'!E30)</f>
        <v>0.8330038288</v>
      </c>
      <c r="N3" s="31">
        <f>'Рынок труда'!L30/100</f>
        <v>0.03052850017</v>
      </c>
      <c r="O3" s="31">
        <f t="shared" ref="O3:O81" si="1">M3*(1-N3)</f>
        <v>0.8075734713</v>
      </c>
      <c r="P3" s="31">
        <f t="shared" ref="P3:P81" si="2">B3*M3</f>
        <v>41122658.45</v>
      </c>
      <c r="Q3" s="31">
        <f t="shared" ref="Q3:Q81" si="3">B3*O3</f>
        <v>39867245.36</v>
      </c>
      <c r="R3" s="31">
        <f t="shared" ref="R3:R81" si="4">P3-Q3</f>
        <v>1255413.085</v>
      </c>
      <c r="S3" s="31">
        <f t="shared" ref="S3:S81" si="5">R3/P3</f>
        <v>0.03052850017</v>
      </c>
      <c r="U3" s="2">
        <f>'Рынок труда'!I18</f>
        <v>2843388.946</v>
      </c>
      <c r="V3" s="2">
        <f>'ВВП (расходы)'!G22/'Рынок труда'!H18*100</f>
        <v>1122662.899</v>
      </c>
      <c r="W3" s="31">
        <f>'ВВП (расходы)'!H22/'Рынок труда'!H18*100</f>
        <v>977539.2642</v>
      </c>
      <c r="X3" s="31">
        <f t="shared" ref="X3:X12" si="6">W3/U3</f>
        <v>0.3437937203</v>
      </c>
      <c r="Y3" s="31">
        <f>AVERAGE(X3:X12)</f>
        <v>0.356986585</v>
      </c>
      <c r="Z3" s="31">
        <f>INTERCEPT(W3:W12,U3:U12)</f>
        <v>-103865.4293</v>
      </c>
      <c r="AA3" s="31">
        <v>0.0</v>
      </c>
      <c r="AB3" s="31">
        <f>SLOPE(AC3:AC12,AA3:AA12)</f>
        <v>0.0211065281</v>
      </c>
      <c r="AC3" s="31">
        <f t="shared" ref="AC3:AC12" si="7">LN(V3)</f>
        <v>13.93121401</v>
      </c>
      <c r="AD3" s="31">
        <f>'ВВП (расходы)'!G34/'Рынок труда'!H30*100</f>
        <v>1673842.242</v>
      </c>
      <c r="AE3" s="31">
        <v>1.0</v>
      </c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</row>
    <row r="4">
      <c r="A4" s="54">
        <v>2023.0</v>
      </c>
      <c r="B4" s="13">
        <v>4.9938131E7</v>
      </c>
      <c r="C4" s="13">
        <f t="shared" ref="C4:C81" si="8">B4-B3</f>
        <v>571421</v>
      </c>
      <c r="D4" s="57">
        <v>476926.0</v>
      </c>
      <c r="E4" s="13">
        <f t="shared" ref="E4:E81" si="9">B4-C4+D4</f>
        <v>49843636</v>
      </c>
      <c r="F4" s="58">
        <f t="shared" ref="F4:F81" si="10">C4+D4</f>
        <v>1048347</v>
      </c>
      <c r="G4" s="31">
        <f>B4*AVERAGE('Рынок труда'!$S$3:$S$32)</f>
        <v>41413974.92</v>
      </c>
      <c r="H4" s="31">
        <f>(1-'Рынок труда'!M35)*G4</f>
        <v>41413974.92</v>
      </c>
      <c r="I4" s="31"/>
      <c r="J4" s="31">
        <f>'Рынок труда'!S31*(1-'Рынок труда'!L31/100)</f>
        <v>0.833691693</v>
      </c>
      <c r="K4" s="31"/>
      <c r="L4" s="31"/>
      <c r="M4" s="31">
        <f>'Рынок труда'!B31/('Рынок труда'!B31+'Рынок труда'!E31)</f>
        <v>0.8365117662</v>
      </c>
      <c r="N4" s="31">
        <f>'Рынок труда'!L31/100</f>
        <v>0.03000952451</v>
      </c>
      <c r="O4" s="31">
        <f t="shared" si="1"/>
        <v>0.8114084458</v>
      </c>
      <c r="P4" s="31">
        <f t="shared" si="2"/>
        <v>41773834.16</v>
      </c>
      <c r="Q4" s="31">
        <f t="shared" si="3"/>
        <v>40520221.26</v>
      </c>
      <c r="R4" s="31">
        <f t="shared" si="4"/>
        <v>1253612.9</v>
      </c>
      <c r="S4" s="31">
        <f t="shared" si="5"/>
        <v>0.03000952451</v>
      </c>
      <c r="U4" s="2">
        <f>'Рынок труда'!I19</f>
        <v>2878433.303</v>
      </c>
      <c r="V4" s="2">
        <f>'ВВП (расходы)'!G23/'Рынок труда'!H19*100</f>
        <v>1198291.467</v>
      </c>
      <c r="W4" s="31">
        <f>'ВВП (расходы)'!H23/'Рынок труда'!H19*100</f>
        <v>1058610.756</v>
      </c>
      <c r="X4" s="31">
        <f t="shared" si="6"/>
        <v>0.3677732449</v>
      </c>
      <c r="Y4" s="31">
        <f>SLOPE(W3:W12,U3:U12)</f>
        <v>0.391044457</v>
      </c>
      <c r="Z4" s="31"/>
      <c r="AA4" s="31">
        <v>1.0</v>
      </c>
      <c r="AB4" s="31"/>
      <c r="AC4" s="31">
        <f t="shared" si="7"/>
        <v>13.99640732</v>
      </c>
      <c r="AD4" s="31">
        <f>'ВВП (расходы)'!G35/'Рынок труда'!H31*100</f>
        <v>1684385.866</v>
      </c>
      <c r="AE4" s="31">
        <v>1.0</v>
      </c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</row>
    <row r="5">
      <c r="A5" s="54">
        <v>2024.0</v>
      </c>
      <c r="B5" s="13">
        <v>4.9962471E7</v>
      </c>
      <c r="C5" s="13">
        <f t="shared" si="8"/>
        <v>24340</v>
      </c>
      <c r="D5" s="57">
        <v>286371.0</v>
      </c>
      <c r="E5" s="13">
        <f t="shared" si="9"/>
        <v>50224502</v>
      </c>
      <c r="F5" s="58">
        <f t="shared" si="10"/>
        <v>310711</v>
      </c>
      <c r="G5" s="31">
        <f>B5*AVERAGE('Рынок труда'!$S$3:$S$32)</f>
        <v>41434160.22</v>
      </c>
      <c r="H5" s="31">
        <f>(1-'Рынок труда'!M36)*G5</f>
        <v>41434160.22</v>
      </c>
      <c r="I5" s="31"/>
      <c r="J5" s="31">
        <f>'Рынок труда'!S32*(1-'Рынок труда'!L32/100)</f>
        <v>0.8340988895</v>
      </c>
      <c r="K5" s="31"/>
      <c r="L5" s="31"/>
      <c r="M5" s="31">
        <f>'Рынок труда'!B32/('Рынок труда'!B32+'Рынок труда'!E32)</f>
        <v>0.8408982732</v>
      </c>
      <c r="N5" s="31">
        <f>'Рынок труда'!L32/100</f>
        <v>0.03319453689</v>
      </c>
      <c r="O5" s="31">
        <f t="shared" si="1"/>
        <v>0.8129850444</v>
      </c>
      <c r="P5" s="31">
        <f t="shared" si="2"/>
        <v>42013355.59</v>
      </c>
      <c r="Q5" s="31">
        <f t="shared" si="3"/>
        <v>40618741.71</v>
      </c>
      <c r="R5" s="31">
        <f t="shared" si="4"/>
        <v>1394613.882</v>
      </c>
      <c r="S5" s="31">
        <f t="shared" si="5"/>
        <v>0.03319453689</v>
      </c>
      <c r="U5" s="2">
        <f>'Рынок труда'!I20</f>
        <v>2919647.605</v>
      </c>
      <c r="V5" s="2">
        <f>'ВВП (расходы)'!G24/'Рынок труда'!H20*100</f>
        <v>1245779.075</v>
      </c>
      <c r="W5" s="31">
        <f>'ВВП (расходы)'!H24/'Рынок труда'!H20*100</f>
        <v>1069515.717</v>
      </c>
      <c r="X5" s="31">
        <f t="shared" si="6"/>
        <v>0.3663167142</v>
      </c>
      <c r="Y5" s="31"/>
      <c r="Z5" s="31"/>
      <c r="AA5" s="31">
        <v>2.0</v>
      </c>
      <c r="AB5" s="31"/>
      <c r="AC5" s="31">
        <f t="shared" si="7"/>
        <v>14.03527166</v>
      </c>
      <c r="AD5" s="31">
        <f>'ВВП (расходы)'!G36/'Рынок труда'!H32*100</f>
        <v>1672588.62</v>
      </c>
      <c r="AE5" s="31">
        <v>1.0</v>
      </c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</row>
    <row r="6">
      <c r="A6" s="54">
        <v>2025.0</v>
      </c>
      <c r="B6" s="13">
        <v>4.9745126E7</v>
      </c>
      <c r="C6" s="13">
        <f t="shared" si="8"/>
        <v>-217345</v>
      </c>
      <c r="D6" s="57">
        <v>243325.0</v>
      </c>
      <c r="E6" s="13">
        <f t="shared" si="9"/>
        <v>50205796</v>
      </c>
      <c r="F6" s="58">
        <f t="shared" si="10"/>
        <v>25980</v>
      </c>
      <c r="G6" s="31">
        <f>B6*AVERAGE('Рынок труда'!$S$3:$S$32)</f>
        <v>41253914.78</v>
      </c>
      <c r="H6" s="31">
        <f>(1-'Рынок труда'!M37)*G6</f>
        <v>41253914.78</v>
      </c>
      <c r="I6" s="31"/>
      <c r="J6" s="31"/>
      <c r="K6" s="31"/>
      <c r="L6" s="31"/>
      <c r="M6" s="31">
        <f t="shared" ref="M6:M81" si="11">M5 + 0.25*($K$3 - M5)</f>
        <v>0.8388846857</v>
      </c>
      <c r="N6" s="31">
        <f>N5+0.3*('Рынок труда'!M30-N5)</f>
        <v>0.9787361758</v>
      </c>
      <c r="O6" s="31">
        <f t="shared" si="1"/>
        <v>0.01783789646</v>
      </c>
      <c r="P6" s="31">
        <f t="shared" si="2"/>
        <v>41730424.39</v>
      </c>
      <c r="Q6" s="31">
        <f t="shared" si="3"/>
        <v>887348.4069</v>
      </c>
      <c r="R6" s="31">
        <f t="shared" si="4"/>
        <v>40843075.98</v>
      </c>
      <c r="S6" s="31">
        <f t="shared" si="5"/>
        <v>0.9787361758</v>
      </c>
      <c r="U6" s="2">
        <f>'Рынок труда'!I21</f>
        <v>2977909.332</v>
      </c>
      <c r="V6" s="2">
        <f>'ВВП (расходы)'!G25/'Рынок труда'!H21*100</f>
        <v>1240854.754</v>
      </c>
      <c r="W6" s="31">
        <f>'ВВП (расходы)'!H25/'Рынок труда'!H21*100</f>
        <v>1068942.203</v>
      </c>
      <c r="X6" s="31">
        <f t="shared" si="6"/>
        <v>0.3589572696</v>
      </c>
      <c r="Y6" s="31"/>
      <c r="Z6" s="31"/>
      <c r="AA6" s="31">
        <v>3.0</v>
      </c>
      <c r="AB6" s="31"/>
      <c r="AC6" s="31">
        <f t="shared" si="7"/>
        <v>14.03131102</v>
      </c>
      <c r="AD6" s="31">
        <f t="shared" ref="AD6:AD81" si="12">$AD$5*EXP($AB$3*(A6-$A$5))*AE6</f>
        <v>1708266.351</v>
      </c>
      <c r="AE6" s="31">
        <v>1.0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</row>
    <row r="7">
      <c r="A7" s="54">
        <v>2026.0</v>
      </c>
      <c r="B7" s="13">
        <v>4.9457588E7</v>
      </c>
      <c r="C7" s="13">
        <f t="shared" si="8"/>
        <v>-287538</v>
      </c>
      <c r="D7" s="57">
        <v>201432.0</v>
      </c>
      <c r="E7" s="13">
        <f t="shared" si="9"/>
        <v>49946558</v>
      </c>
      <c r="F7" s="58">
        <f t="shared" si="10"/>
        <v>-86106</v>
      </c>
      <c r="G7" s="31">
        <f>B7*AVERAGE('Рынок труда'!$S$3:$S$32)</f>
        <v>41015457.89</v>
      </c>
      <c r="H7" s="31">
        <f>(1-'Рынок труда'!M38)*G7</f>
        <v>41015457.89</v>
      </c>
      <c r="I7" s="31"/>
      <c r="J7" s="31"/>
      <c r="K7" s="31"/>
      <c r="L7" s="31"/>
      <c r="M7" s="31">
        <f t="shared" si="11"/>
        <v>0.8373744951</v>
      </c>
      <c r="N7" s="31">
        <f t="shared" ref="N7:N81" si="13">N5 + 0.3*($L$3 - N5)</f>
        <v>0.03277117583</v>
      </c>
      <c r="O7" s="31">
        <f t="shared" si="1"/>
        <v>0.8099327483</v>
      </c>
      <c r="P7" s="31">
        <f t="shared" si="2"/>
        <v>41414522.78</v>
      </c>
      <c r="Q7" s="31">
        <f t="shared" si="3"/>
        <v>40057320.17</v>
      </c>
      <c r="R7" s="31">
        <f t="shared" si="4"/>
        <v>1357202.608</v>
      </c>
      <c r="S7" s="31">
        <f t="shared" si="5"/>
        <v>0.03277117583</v>
      </c>
      <c r="U7" s="2">
        <f>'Рынок труда'!I22</f>
        <v>3034511.151</v>
      </c>
      <c r="V7" s="2">
        <f>'ВВП (расходы)'!G26/'Рынок труда'!H22*100</f>
        <v>1264902.312</v>
      </c>
      <c r="W7" s="31">
        <f>'ВВП (расходы)'!H26/'Рынок труда'!H22*100</f>
        <v>1066522.658</v>
      </c>
      <c r="X7" s="31">
        <f t="shared" si="6"/>
        <v>0.3514644057</v>
      </c>
      <c r="Y7" s="31"/>
      <c r="Z7" s="31"/>
      <c r="AA7" s="31">
        <v>4.0</v>
      </c>
      <c r="AB7" s="31"/>
      <c r="AC7" s="31">
        <f t="shared" si="7"/>
        <v>14.05050545</v>
      </c>
      <c r="AD7" s="31">
        <f t="shared" si="12"/>
        <v>1744705.118</v>
      </c>
      <c r="AE7" s="31">
        <v>1.0</v>
      </c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</row>
    <row r="8">
      <c r="A8" s="54">
        <v>2027.0</v>
      </c>
      <c r="B8" s="13">
        <v>4.9090827E7</v>
      </c>
      <c r="C8" s="13">
        <f t="shared" si="8"/>
        <v>-366761</v>
      </c>
      <c r="D8" s="57">
        <v>155114.0</v>
      </c>
      <c r="E8" s="13">
        <f t="shared" si="9"/>
        <v>49612702</v>
      </c>
      <c r="F8" s="58">
        <f t="shared" si="10"/>
        <v>-211647</v>
      </c>
      <c r="G8" s="31">
        <f>B8*AVERAGE('Рынок труда'!$S$3:$S$32)</f>
        <v>40711300.92</v>
      </c>
      <c r="H8" s="31">
        <f>(1-'Рынок труда'!M39)*G8</f>
        <v>40711300.92</v>
      </c>
      <c r="I8" s="31"/>
      <c r="J8" s="31"/>
      <c r="K8" s="31"/>
      <c r="L8" s="31"/>
      <c r="M8" s="31">
        <f t="shared" si="11"/>
        <v>0.8362418521</v>
      </c>
      <c r="N8" s="31">
        <f t="shared" si="13"/>
        <v>0.6946503231</v>
      </c>
      <c r="O8" s="31">
        <f t="shared" si="1"/>
        <v>0.2553461794</v>
      </c>
      <c r="P8" s="31">
        <f t="shared" si="2"/>
        <v>41051804.09</v>
      </c>
      <c r="Q8" s="31">
        <f t="shared" si="3"/>
        <v>12535155.12</v>
      </c>
      <c r="R8" s="31">
        <f t="shared" si="4"/>
        <v>28516648.98</v>
      </c>
      <c r="S8" s="31">
        <f t="shared" si="5"/>
        <v>0.6946503231</v>
      </c>
      <c r="U8" s="2">
        <f>'Рынок труда'!I23</f>
        <v>3085650</v>
      </c>
      <c r="V8" s="2">
        <f>'ВВП (расходы)'!G27/'Рынок труда'!H23*100</f>
        <v>1314624</v>
      </c>
      <c r="W8" s="31">
        <f>'ВВП (расходы)'!H27/'Рынок труда'!H23*100</f>
        <v>1085745</v>
      </c>
      <c r="X8" s="31">
        <f t="shared" si="6"/>
        <v>0.3518691362</v>
      </c>
      <c r="Y8" s="31"/>
      <c r="Z8" s="31"/>
      <c r="AA8" s="31">
        <v>5.0</v>
      </c>
      <c r="AB8" s="31"/>
      <c r="AC8" s="31">
        <f t="shared" si="7"/>
        <v>14.08906125</v>
      </c>
      <c r="AD8" s="31">
        <f t="shared" si="12"/>
        <v>1781921.155</v>
      </c>
      <c r="AE8" s="31">
        <v>1.0</v>
      </c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</row>
    <row r="9">
      <c r="A9" s="54">
        <v>2028.0</v>
      </c>
      <c r="B9" s="13">
        <v>4.8680832E7</v>
      </c>
      <c r="C9" s="13">
        <f t="shared" si="8"/>
        <v>-409995</v>
      </c>
      <c r="D9" s="57">
        <v>160622.0</v>
      </c>
      <c r="E9" s="13">
        <f t="shared" si="9"/>
        <v>49251449</v>
      </c>
      <c r="F9" s="58">
        <f t="shared" si="10"/>
        <v>-249373</v>
      </c>
      <c r="G9" s="31">
        <f>B9*AVERAGE('Рынок труда'!$S$3:$S$32)</f>
        <v>40371289.74</v>
      </c>
      <c r="H9" s="31">
        <f>(1-'Рынок труда'!M40)*G9</f>
        <v>40371289.74</v>
      </c>
      <c r="I9" s="31"/>
      <c r="J9" s="31"/>
      <c r="K9" s="31"/>
      <c r="L9" s="31"/>
      <c r="M9" s="31">
        <f t="shared" si="11"/>
        <v>0.8353923699</v>
      </c>
      <c r="N9" s="31">
        <f t="shared" si="13"/>
        <v>0.03247482308</v>
      </c>
      <c r="O9" s="31">
        <f t="shared" si="1"/>
        <v>0.8082631505</v>
      </c>
      <c r="P9" s="31">
        <f t="shared" si="2"/>
        <v>40667595.61</v>
      </c>
      <c r="Q9" s="31">
        <f t="shared" si="3"/>
        <v>39346922.64</v>
      </c>
      <c r="R9" s="31">
        <f t="shared" si="4"/>
        <v>1320672.973</v>
      </c>
      <c r="S9" s="31">
        <f t="shared" si="5"/>
        <v>0.03247482308</v>
      </c>
      <c r="U9" s="2">
        <f>'Рынок труда'!I24</f>
        <v>3124404.907</v>
      </c>
      <c r="V9" s="2">
        <f>'ВВП (расходы)'!G28/'Рынок труда'!H24*100</f>
        <v>1300496.603</v>
      </c>
      <c r="W9" s="31">
        <f>'ВВП (расходы)'!H28/'Рынок труда'!H24*100</f>
        <v>1073569.578</v>
      </c>
      <c r="X9" s="31">
        <f t="shared" si="6"/>
        <v>0.3436076981</v>
      </c>
      <c r="Y9" s="31"/>
      <c r="Z9" s="31"/>
      <c r="AA9" s="31">
        <v>6.0</v>
      </c>
      <c r="AB9" s="31"/>
      <c r="AC9" s="31">
        <f t="shared" si="7"/>
        <v>14.07825675</v>
      </c>
      <c r="AD9" s="31">
        <f t="shared" si="12"/>
        <v>1819931.041</v>
      </c>
      <c r="AE9" s="31">
        <v>1.0</v>
      </c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</row>
    <row r="10">
      <c r="A10" s="54">
        <v>2029.0</v>
      </c>
      <c r="B10" s="13">
        <v>4.8248218E7</v>
      </c>
      <c r="C10" s="13">
        <f t="shared" si="8"/>
        <v>-432614</v>
      </c>
      <c r="D10" s="57">
        <v>162143.0</v>
      </c>
      <c r="E10" s="13">
        <f t="shared" si="9"/>
        <v>48842975</v>
      </c>
      <c r="F10" s="58">
        <f t="shared" si="10"/>
        <v>-270471</v>
      </c>
      <c r="G10" s="31">
        <f>B10*AVERAGE('Рынок труда'!$S$3:$S$32)</f>
        <v>40012520.5</v>
      </c>
      <c r="H10" s="31">
        <f>(1-'Рынок труда'!M41)*G10</f>
        <v>40012520.5</v>
      </c>
      <c r="I10" s="31"/>
      <c r="J10" s="31"/>
      <c r="K10" s="31"/>
      <c r="L10" s="31"/>
      <c r="M10" s="31">
        <f t="shared" si="11"/>
        <v>0.8347552582</v>
      </c>
      <c r="N10" s="31">
        <f t="shared" si="13"/>
        <v>0.4957902262</v>
      </c>
      <c r="O10" s="31">
        <f t="shared" si="1"/>
        <v>0.42089176</v>
      </c>
      <c r="P10" s="31">
        <f t="shared" si="2"/>
        <v>40275453.68</v>
      </c>
      <c r="Q10" s="31">
        <f t="shared" si="3"/>
        <v>20307277.39</v>
      </c>
      <c r="R10" s="31">
        <f t="shared" si="4"/>
        <v>19968176.29</v>
      </c>
      <c r="S10" s="31">
        <f t="shared" si="5"/>
        <v>0.4957902262</v>
      </c>
      <c r="U10" s="2">
        <f>'Рынок труда'!I25</f>
        <v>3170281.614</v>
      </c>
      <c r="V10" s="2">
        <f>'ВВП (расходы)'!G29/'Рынок труда'!H25*100</f>
        <v>1341852.807</v>
      </c>
      <c r="W10" s="31">
        <f>'ВВП (расходы)'!H29/'Рынок труда'!H25*100</f>
        <v>1117228.022</v>
      </c>
      <c r="X10" s="31">
        <f t="shared" si="6"/>
        <v>0.3524065552</v>
      </c>
      <c r="Y10" s="31"/>
      <c r="Z10" s="31"/>
      <c r="AA10" s="31">
        <v>7.0</v>
      </c>
      <c r="AB10" s="31"/>
      <c r="AC10" s="31">
        <f t="shared" si="7"/>
        <v>14.10956191</v>
      </c>
      <c r="AD10" s="31">
        <f t="shared" si="12"/>
        <v>1858751.71</v>
      </c>
      <c r="AE10" s="31">
        <v>1.0</v>
      </c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</row>
    <row r="11">
      <c r="A11" s="54">
        <v>2030.0</v>
      </c>
      <c r="B11" s="13">
        <v>4.7791925E7</v>
      </c>
      <c r="C11" s="13">
        <f t="shared" si="8"/>
        <v>-456293</v>
      </c>
      <c r="D11" s="57">
        <v>162228.0</v>
      </c>
      <c r="E11" s="13">
        <f t="shared" si="9"/>
        <v>48410446</v>
      </c>
      <c r="F11" s="58">
        <f t="shared" si="10"/>
        <v>-294065</v>
      </c>
      <c r="G11" s="31">
        <f>B11*AVERAGE('Рынок труда'!$S$3:$S$32)</f>
        <v>39634114.13</v>
      </c>
      <c r="H11" s="31">
        <f>(1-'Рынок труда'!M42)*G11</f>
        <v>39634114.13</v>
      </c>
      <c r="I11" s="31"/>
      <c r="J11" s="31"/>
      <c r="K11" s="31"/>
      <c r="L11" s="31"/>
      <c r="M11" s="31">
        <f t="shared" si="11"/>
        <v>0.8342774245</v>
      </c>
      <c r="N11" s="31">
        <f t="shared" si="13"/>
        <v>0.03226737615</v>
      </c>
      <c r="O11" s="31">
        <f t="shared" si="1"/>
        <v>0.807357481</v>
      </c>
      <c r="P11" s="31">
        <f t="shared" si="2"/>
        <v>39871724.1</v>
      </c>
      <c r="Q11" s="31">
        <f t="shared" si="3"/>
        <v>38585168.18</v>
      </c>
      <c r="R11" s="31">
        <f t="shared" si="4"/>
        <v>1286555.919</v>
      </c>
      <c r="S11" s="31">
        <f t="shared" si="5"/>
        <v>0.03226737615</v>
      </c>
      <c r="U11" s="2">
        <f>'Рынок труда'!I26</f>
        <v>3229420.402</v>
      </c>
      <c r="V11" s="2">
        <f>'ВВП (расходы)'!G30/'Рынок труда'!H26*100</f>
        <v>1375971.801</v>
      </c>
      <c r="W11" s="31">
        <f>'ВВП (расходы)'!H30/'Рынок труда'!H26*100</f>
        <v>1182622.405</v>
      </c>
      <c r="X11" s="31">
        <f t="shared" si="6"/>
        <v>0.3662026796</v>
      </c>
      <c r="Y11" s="31"/>
      <c r="Z11" s="31"/>
      <c r="AA11" s="31">
        <v>8.0</v>
      </c>
      <c r="AB11" s="31"/>
      <c r="AC11" s="31">
        <f t="shared" si="7"/>
        <v>14.1346708</v>
      </c>
      <c r="AD11" s="31">
        <f t="shared" si="12"/>
        <v>1898400.457</v>
      </c>
      <c r="AE11" s="31">
        <v>1.0</v>
      </c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</row>
    <row r="12">
      <c r="A12" s="54">
        <v>2031.0</v>
      </c>
      <c r="B12" s="13">
        <v>4.7380996E7</v>
      </c>
      <c r="C12" s="13">
        <f t="shared" si="8"/>
        <v>-410929</v>
      </c>
      <c r="D12" s="57">
        <v>162178.0</v>
      </c>
      <c r="E12" s="13">
        <f t="shared" si="9"/>
        <v>47954103</v>
      </c>
      <c r="F12" s="58">
        <f t="shared" si="10"/>
        <v>-248751</v>
      </c>
      <c r="G12" s="31">
        <f>B12*AVERAGE('Рынок труда'!$S$3:$S$32)</f>
        <v>39293328.38</v>
      </c>
      <c r="H12" s="31">
        <f>(1-'Рынок труда'!M43)*G12</f>
        <v>39293328.38</v>
      </c>
      <c r="I12" s="31"/>
      <c r="J12" s="31"/>
      <c r="K12" s="31"/>
      <c r="L12" s="31"/>
      <c r="M12" s="31">
        <f t="shared" si="11"/>
        <v>0.8339190492</v>
      </c>
      <c r="N12" s="31">
        <f t="shared" si="13"/>
        <v>0.3565881583</v>
      </c>
      <c r="O12" s="31">
        <f t="shared" si="1"/>
        <v>0.5365533912</v>
      </c>
      <c r="P12" s="31">
        <f t="shared" si="2"/>
        <v>39511915.13</v>
      </c>
      <c r="Q12" s="31">
        <f t="shared" si="3"/>
        <v>25422434.08</v>
      </c>
      <c r="R12" s="31">
        <f t="shared" si="4"/>
        <v>14089481.05</v>
      </c>
      <c r="S12" s="31">
        <f t="shared" si="5"/>
        <v>0.3565881583</v>
      </c>
      <c r="U12" s="2">
        <f>'Рынок труда'!I27</f>
        <v>3294512.377</v>
      </c>
      <c r="V12" s="2">
        <f>'ВВП (расходы)'!G31/'Рынок труда'!H27*100</f>
        <v>1396422.047</v>
      </c>
      <c r="W12" s="31">
        <f>'ВВП (расходы)'!H31/'Рынок труда'!H27*100</f>
        <v>1210649.046</v>
      </c>
      <c r="X12" s="31">
        <f t="shared" si="6"/>
        <v>0.3674744263</v>
      </c>
      <c r="Y12" s="31"/>
      <c r="Z12" s="31"/>
      <c r="AA12" s="31">
        <v>9.0</v>
      </c>
      <c r="AB12" s="31"/>
      <c r="AC12" s="31">
        <f t="shared" si="7"/>
        <v>14.14942384</v>
      </c>
      <c r="AD12" s="31">
        <f t="shared" si="12"/>
        <v>1938894.945</v>
      </c>
      <c r="AE12" s="31">
        <v>1.0</v>
      </c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</row>
    <row r="13">
      <c r="A13" s="54">
        <v>2032.0</v>
      </c>
      <c r="B13" s="13">
        <v>4.6963822E7</v>
      </c>
      <c r="C13" s="13">
        <f t="shared" si="8"/>
        <v>-417174</v>
      </c>
      <c r="D13" s="57">
        <v>162151.0</v>
      </c>
      <c r="E13" s="13">
        <f t="shared" si="9"/>
        <v>47543147</v>
      </c>
      <c r="F13" s="58">
        <f t="shared" si="10"/>
        <v>-255023</v>
      </c>
      <c r="G13" s="31">
        <f>B13*AVERAGE('Рынок труда'!$S$3:$S$32)</f>
        <v>38947363.62</v>
      </c>
      <c r="H13" s="31">
        <f>(1-'Рынок труда'!M44)*G13</f>
        <v>38947363.62</v>
      </c>
      <c r="I13" s="31"/>
      <c r="J13" s="31"/>
      <c r="K13" s="31"/>
      <c r="L13" s="31"/>
      <c r="M13" s="31">
        <f t="shared" si="11"/>
        <v>0.8336502677</v>
      </c>
      <c r="N13" s="31">
        <f t="shared" si="13"/>
        <v>0.03212216331</v>
      </c>
      <c r="O13" s="31">
        <f t="shared" si="1"/>
        <v>0.8068716176</v>
      </c>
      <c r="P13" s="31">
        <f t="shared" si="2"/>
        <v>39151402.78</v>
      </c>
      <c r="Q13" s="31">
        <f t="shared" si="3"/>
        <v>37893775.03</v>
      </c>
      <c r="R13" s="31">
        <f t="shared" si="4"/>
        <v>1257627.754</v>
      </c>
      <c r="S13" s="31">
        <f t="shared" si="5"/>
        <v>0.03212216331</v>
      </c>
      <c r="W13" s="31"/>
      <c r="X13" s="31"/>
      <c r="Y13" s="31"/>
      <c r="Z13" s="31"/>
      <c r="AA13" s="31"/>
      <c r="AB13" s="31"/>
      <c r="AC13" s="31"/>
      <c r="AD13" s="31">
        <f t="shared" si="12"/>
        <v>1980253.215</v>
      </c>
      <c r="AE13" s="31">
        <v>1.0</v>
      </c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</row>
    <row r="14">
      <c r="A14" s="54">
        <v>2033.0</v>
      </c>
      <c r="B14" s="13">
        <v>4.6602888E7</v>
      </c>
      <c r="C14" s="13">
        <f t="shared" si="8"/>
        <v>-360934</v>
      </c>
      <c r="D14" s="57">
        <v>162009.0</v>
      </c>
      <c r="E14" s="13">
        <f t="shared" si="9"/>
        <v>47125831</v>
      </c>
      <c r="F14" s="58">
        <f t="shared" si="10"/>
        <v>-198925</v>
      </c>
      <c r="G14" s="31">
        <f>B14*AVERAGE('Рынок труда'!$S$3:$S$32)</f>
        <v>38648039.01</v>
      </c>
      <c r="H14" s="31">
        <f>(1-'Рынок труда'!M45)*G14</f>
        <v>38648039.01</v>
      </c>
      <c r="I14" s="31"/>
      <c r="J14" s="31"/>
      <c r="K14" s="31"/>
      <c r="L14" s="31"/>
      <c r="M14" s="31">
        <f t="shared" si="11"/>
        <v>0.8334486816</v>
      </c>
      <c r="N14" s="31">
        <f t="shared" si="13"/>
        <v>0.2591467108</v>
      </c>
      <c r="O14" s="31">
        <f t="shared" si="1"/>
        <v>0.6174631971</v>
      </c>
      <c r="P14" s="31">
        <f t="shared" si="2"/>
        <v>38841115.56</v>
      </c>
      <c r="Q14" s="31">
        <f t="shared" si="3"/>
        <v>28775568.22</v>
      </c>
      <c r="R14" s="31">
        <f t="shared" si="4"/>
        <v>10065547.34</v>
      </c>
      <c r="S14" s="31">
        <f t="shared" si="5"/>
        <v>0.2591467108</v>
      </c>
      <c r="W14" s="31"/>
      <c r="X14" s="31"/>
      <c r="Y14" s="31"/>
      <c r="Z14" s="31"/>
      <c r="AA14" s="31"/>
      <c r="AB14" s="31"/>
      <c r="AC14" s="31"/>
      <c r="AD14" s="31">
        <f t="shared" si="12"/>
        <v>2022493.692</v>
      </c>
      <c r="AE14" s="31">
        <v>1.0</v>
      </c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</row>
    <row r="15">
      <c r="A15" s="54">
        <v>2034.0</v>
      </c>
      <c r="B15" s="13">
        <v>4.6282545E7</v>
      </c>
      <c r="C15" s="13">
        <f t="shared" si="8"/>
        <v>-320343</v>
      </c>
      <c r="D15" s="57">
        <v>183408.0</v>
      </c>
      <c r="E15" s="13">
        <f t="shared" si="9"/>
        <v>46786296</v>
      </c>
      <c r="F15" s="58">
        <f t="shared" si="10"/>
        <v>-136935</v>
      </c>
      <c r="G15" s="31">
        <f>B15*AVERAGE('Рынок труда'!$S$3:$S$32)</f>
        <v>38382376.75</v>
      </c>
      <c r="H15" s="31">
        <f>(1-'Рынок труда'!M46)*G15</f>
        <v>38382376.75</v>
      </c>
      <c r="I15" s="31"/>
      <c r="J15" s="31"/>
      <c r="K15" s="31"/>
      <c r="L15" s="31"/>
      <c r="M15" s="31">
        <f t="shared" si="11"/>
        <v>0.833297492</v>
      </c>
      <c r="N15" s="31">
        <f t="shared" si="13"/>
        <v>0.03202051432</v>
      </c>
      <c r="O15" s="31">
        <f t="shared" si="1"/>
        <v>0.8066148777</v>
      </c>
      <c r="P15" s="31">
        <f t="shared" si="2"/>
        <v>38567128.67</v>
      </c>
      <c r="Q15" s="31">
        <f t="shared" si="3"/>
        <v>37332189.37</v>
      </c>
      <c r="R15" s="31">
        <f t="shared" si="4"/>
        <v>1234939.296</v>
      </c>
      <c r="S15" s="31">
        <f t="shared" si="5"/>
        <v>0.03202051432</v>
      </c>
      <c r="W15" s="31"/>
      <c r="X15" s="31"/>
      <c r="Y15" s="31"/>
      <c r="Z15" s="31"/>
      <c r="AA15" s="31"/>
      <c r="AB15" s="31"/>
      <c r="AC15" s="31"/>
      <c r="AD15" s="31">
        <f t="shared" si="12"/>
        <v>2065635.194</v>
      </c>
      <c r="AE15" s="31">
        <v>1.0</v>
      </c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</row>
    <row r="16">
      <c r="A16" s="54">
        <v>2035.0</v>
      </c>
      <c r="B16" s="13">
        <v>4.607305E7</v>
      </c>
      <c r="C16" s="13">
        <f t="shared" si="8"/>
        <v>-209495</v>
      </c>
      <c r="D16" s="57">
        <v>177584.0</v>
      </c>
      <c r="E16" s="13">
        <f t="shared" si="9"/>
        <v>46460129</v>
      </c>
      <c r="F16" s="58">
        <f t="shared" si="10"/>
        <v>-31911</v>
      </c>
      <c r="G16" s="31">
        <f>B16*AVERAGE('Рынок труда'!$S$3:$S$32)</f>
        <v>38208641.36</v>
      </c>
      <c r="H16" s="31">
        <f>(1-'Рынок труда'!M47)*G16</f>
        <v>38208641.36</v>
      </c>
      <c r="I16" s="31"/>
      <c r="J16" s="31"/>
      <c r="K16" s="31"/>
      <c r="L16" s="31"/>
      <c r="M16" s="31">
        <f t="shared" si="11"/>
        <v>0.8331840998</v>
      </c>
      <c r="N16" s="31">
        <f t="shared" si="13"/>
        <v>0.1909376976</v>
      </c>
      <c r="O16" s="31">
        <f t="shared" si="1"/>
        <v>0.6740978461</v>
      </c>
      <c r="P16" s="31">
        <f t="shared" si="2"/>
        <v>38387332.69</v>
      </c>
      <c r="Q16" s="31">
        <f t="shared" si="3"/>
        <v>31057743.77</v>
      </c>
      <c r="R16" s="31">
        <f t="shared" si="4"/>
        <v>7329588.919</v>
      </c>
      <c r="S16" s="31">
        <f t="shared" si="5"/>
        <v>0.1909376976</v>
      </c>
      <c r="W16" s="31"/>
      <c r="X16" s="31"/>
      <c r="Y16" s="31"/>
      <c r="Z16" s="31"/>
      <c r="AA16" s="31"/>
      <c r="AB16" s="31"/>
      <c r="AC16" s="31"/>
      <c r="AD16" s="31">
        <f t="shared" si="12"/>
        <v>2109696.941</v>
      </c>
      <c r="AE16" s="31">
        <v>1.0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</row>
    <row r="17">
      <c r="A17" s="54">
        <v>2036.0</v>
      </c>
      <c r="B17" s="13">
        <v>4.5952528E7</v>
      </c>
      <c r="C17" s="13">
        <f t="shared" si="8"/>
        <v>-120522</v>
      </c>
      <c r="D17" s="57">
        <v>173236.0</v>
      </c>
      <c r="E17" s="13">
        <f t="shared" si="9"/>
        <v>46246286</v>
      </c>
      <c r="F17" s="58">
        <f t="shared" si="10"/>
        <v>52714</v>
      </c>
      <c r="G17" s="31">
        <f>B17*AVERAGE('Рынок труда'!$S$3:$S$32)</f>
        <v>38108691.78</v>
      </c>
      <c r="H17" s="31">
        <f>(1-'Рынок труда'!M48)*G17</f>
        <v>38108691.78</v>
      </c>
      <c r="I17" s="31"/>
      <c r="J17" s="31"/>
      <c r="K17" s="31"/>
      <c r="L17" s="31"/>
      <c r="M17" s="31">
        <f t="shared" si="11"/>
        <v>0.8330990556</v>
      </c>
      <c r="N17" s="31">
        <f t="shared" si="13"/>
        <v>0.03194936002</v>
      </c>
      <c r="O17" s="31">
        <f t="shared" si="1"/>
        <v>0.806482074</v>
      </c>
      <c r="P17" s="31">
        <f t="shared" si="2"/>
        <v>38283007.68</v>
      </c>
      <c r="Q17" s="31">
        <f t="shared" si="3"/>
        <v>37059890.09</v>
      </c>
      <c r="R17" s="31">
        <f t="shared" si="4"/>
        <v>1223117.595</v>
      </c>
      <c r="S17" s="31">
        <f t="shared" si="5"/>
        <v>0.03194936002</v>
      </c>
      <c r="W17" s="31"/>
      <c r="X17" s="31"/>
      <c r="Y17" s="31"/>
      <c r="Z17" s="31"/>
      <c r="AA17" s="31"/>
      <c r="AB17" s="31"/>
      <c r="AC17" s="31"/>
      <c r="AD17" s="31">
        <f t="shared" si="12"/>
        <v>2154698.562</v>
      </c>
      <c r="AE17" s="31">
        <v>1.0</v>
      </c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</row>
    <row r="18">
      <c r="A18" s="54">
        <v>2037.0</v>
      </c>
      <c r="B18" s="13">
        <v>4.5897601E7</v>
      </c>
      <c r="C18" s="13">
        <f t="shared" si="8"/>
        <v>-54927</v>
      </c>
      <c r="D18" s="57">
        <v>170095.0</v>
      </c>
      <c r="E18" s="13">
        <f t="shared" si="9"/>
        <v>46122623</v>
      </c>
      <c r="F18" s="58">
        <f t="shared" si="10"/>
        <v>115168</v>
      </c>
      <c r="G18" s="31">
        <f>B18*AVERAGE('Рынок труда'!$S$3:$S$32)</f>
        <v>38063140.51</v>
      </c>
      <c r="H18" s="31">
        <f>(1-'Рынок труда'!M49)*G18</f>
        <v>38063140.51</v>
      </c>
      <c r="I18" s="31"/>
      <c r="J18" s="31"/>
      <c r="K18" s="31"/>
      <c r="L18" s="31"/>
      <c r="M18" s="31">
        <f t="shared" si="11"/>
        <v>0.8330352725</v>
      </c>
      <c r="N18" s="31">
        <f t="shared" si="13"/>
        <v>0.1431913883</v>
      </c>
      <c r="O18" s="31">
        <f t="shared" si="1"/>
        <v>0.7137517954</v>
      </c>
      <c r="P18" s="31">
        <f t="shared" si="2"/>
        <v>38234320.56</v>
      </c>
      <c r="Q18" s="31">
        <f t="shared" si="3"/>
        <v>32759495.12</v>
      </c>
      <c r="R18" s="31">
        <f t="shared" si="4"/>
        <v>5474825.441</v>
      </c>
      <c r="S18" s="31">
        <f t="shared" si="5"/>
        <v>0.1431913883</v>
      </c>
      <c r="W18" s="31"/>
      <c r="X18" s="31"/>
      <c r="Y18" s="31"/>
      <c r="Z18" s="31"/>
      <c r="AA18" s="31"/>
      <c r="AB18" s="31"/>
      <c r="AC18" s="31"/>
      <c r="AD18" s="31">
        <f t="shared" si="12"/>
        <v>2200660.106</v>
      </c>
      <c r="AE18" s="31">
        <v>1.0</v>
      </c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</row>
    <row r="19">
      <c r="A19" s="54">
        <v>2038.0</v>
      </c>
      <c r="B19" s="13">
        <v>4.5929832E7</v>
      </c>
      <c r="C19" s="13">
        <f t="shared" si="8"/>
        <v>32231</v>
      </c>
      <c r="D19" s="57">
        <v>167799.0</v>
      </c>
      <c r="E19" s="13">
        <f t="shared" si="9"/>
        <v>46065400</v>
      </c>
      <c r="F19" s="58">
        <f t="shared" si="10"/>
        <v>200030</v>
      </c>
      <c r="G19" s="31">
        <f>B19*AVERAGE('Рынок труда'!$S$3:$S$32)</f>
        <v>38089869.86</v>
      </c>
      <c r="H19" s="31">
        <f>(1-'Рынок труда'!M50)*G19</f>
        <v>38089869.86</v>
      </c>
      <c r="I19" s="31"/>
      <c r="J19" s="31"/>
      <c r="K19" s="31"/>
      <c r="L19" s="31"/>
      <c r="M19" s="31">
        <f t="shared" si="11"/>
        <v>0.8329874352</v>
      </c>
      <c r="N19" s="31">
        <f t="shared" si="13"/>
        <v>0.03189955201</v>
      </c>
      <c r="O19" s="31">
        <f t="shared" si="1"/>
        <v>0.8064155092</v>
      </c>
      <c r="P19" s="31">
        <f t="shared" si="2"/>
        <v>38258972.96</v>
      </c>
      <c r="Q19" s="31">
        <f t="shared" si="3"/>
        <v>37038528.86</v>
      </c>
      <c r="R19" s="31">
        <f t="shared" si="4"/>
        <v>1220444.098</v>
      </c>
      <c r="S19" s="31">
        <f t="shared" si="5"/>
        <v>0.03189955201</v>
      </c>
      <c r="W19" s="31"/>
      <c r="X19" s="31"/>
      <c r="Y19" s="31"/>
      <c r="Z19" s="31"/>
      <c r="AA19" s="31"/>
      <c r="AB19" s="31"/>
      <c r="AC19" s="31"/>
      <c r="AD19" s="31">
        <f t="shared" si="12"/>
        <v>2247602.049</v>
      </c>
      <c r="AE19" s="31">
        <v>1.0</v>
      </c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</row>
    <row r="20">
      <c r="A20" s="54">
        <v>2039.0</v>
      </c>
      <c r="B20" s="13">
        <v>4.6029543E7</v>
      </c>
      <c r="C20" s="13">
        <f t="shared" si="8"/>
        <v>99711</v>
      </c>
      <c r="D20" s="57">
        <v>167291.0</v>
      </c>
      <c r="E20" s="13">
        <f t="shared" si="9"/>
        <v>46097123</v>
      </c>
      <c r="F20" s="58">
        <f t="shared" si="10"/>
        <v>267002</v>
      </c>
      <c r="G20" s="31">
        <f>B20*AVERAGE('Рынок труда'!$S$3:$S$32)</f>
        <v>38172560.75</v>
      </c>
      <c r="H20" s="31">
        <f>(1-'Рынок труда'!M51)*G20</f>
        <v>38172560.75</v>
      </c>
      <c r="I20" s="31"/>
      <c r="J20" s="31"/>
      <c r="K20" s="31"/>
      <c r="L20" s="31"/>
      <c r="M20" s="31">
        <f t="shared" si="11"/>
        <v>0.8329515572</v>
      </c>
      <c r="N20" s="31">
        <f t="shared" si="13"/>
        <v>0.1097689718</v>
      </c>
      <c r="O20" s="31">
        <f t="shared" si="1"/>
        <v>0.7415193212</v>
      </c>
      <c r="P20" s="31">
        <f t="shared" si="2"/>
        <v>38340379.52</v>
      </c>
      <c r="Q20" s="31">
        <f t="shared" si="3"/>
        <v>34131795.48</v>
      </c>
      <c r="R20" s="31">
        <f t="shared" si="4"/>
        <v>4208584.039</v>
      </c>
      <c r="S20" s="31">
        <f t="shared" si="5"/>
        <v>0.1097689718</v>
      </c>
      <c r="W20" s="31"/>
      <c r="X20" s="31"/>
      <c r="Y20" s="31"/>
      <c r="Z20" s="31"/>
      <c r="AA20" s="31"/>
      <c r="AB20" s="31"/>
      <c r="AC20" s="31"/>
      <c r="AD20" s="31">
        <f t="shared" si="12"/>
        <v>2295545.302</v>
      </c>
      <c r="AE20" s="31">
        <v>1.0</v>
      </c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</row>
    <row r="21">
      <c r="A21" s="54">
        <v>2040.0</v>
      </c>
      <c r="B21" s="13">
        <v>4.612384E7</v>
      </c>
      <c r="C21" s="13">
        <f t="shared" si="8"/>
        <v>94297</v>
      </c>
      <c r="D21" s="57">
        <v>166817.0</v>
      </c>
      <c r="E21" s="13">
        <f t="shared" si="9"/>
        <v>46196360</v>
      </c>
      <c r="F21" s="58">
        <f t="shared" si="10"/>
        <v>261114</v>
      </c>
      <c r="G21" s="31">
        <f>B21*AVERAGE('Рынок труда'!$S$3:$S$32)</f>
        <v>38250761.79</v>
      </c>
      <c r="H21" s="31">
        <f>(1-'Рынок труда'!M52)*G21</f>
        <v>38250761.79</v>
      </c>
      <c r="I21" s="31"/>
      <c r="J21" s="31"/>
      <c r="K21" s="31"/>
      <c r="L21" s="31"/>
      <c r="M21" s="31">
        <f t="shared" si="11"/>
        <v>0.8329246487</v>
      </c>
      <c r="N21" s="31">
        <f t="shared" si="13"/>
        <v>0.03186468641</v>
      </c>
      <c r="O21" s="31">
        <f t="shared" si="1"/>
        <v>0.806383766</v>
      </c>
      <c r="P21" s="31">
        <f t="shared" si="2"/>
        <v>38417683.23</v>
      </c>
      <c r="Q21" s="31">
        <f t="shared" si="3"/>
        <v>37193515.8</v>
      </c>
      <c r="R21" s="31">
        <f t="shared" si="4"/>
        <v>1224167.429</v>
      </c>
      <c r="S21" s="31">
        <f t="shared" si="5"/>
        <v>0.03186468641</v>
      </c>
      <c r="W21" s="31"/>
      <c r="X21" s="31"/>
      <c r="Y21" s="31"/>
      <c r="Z21" s="31"/>
      <c r="AA21" s="31"/>
      <c r="AB21" s="31"/>
      <c r="AC21" s="31"/>
      <c r="AD21" s="31">
        <f t="shared" si="12"/>
        <v>2344511.226</v>
      </c>
      <c r="AE21" s="31">
        <v>1.0</v>
      </c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</row>
    <row r="22">
      <c r="A22" s="54">
        <v>2041.0</v>
      </c>
      <c r="B22" s="13">
        <v>4.6223614E7</v>
      </c>
      <c r="C22" s="13">
        <f t="shared" si="8"/>
        <v>99774</v>
      </c>
      <c r="D22" s="57">
        <v>166356.0</v>
      </c>
      <c r="E22" s="13">
        <f t="shared" si="9"/>
        <v>46290196</v>
      </c>
      <c r="F22" s="58">
        <f t="shared" si="10"/>
        <v>266130</v>
      </c>
      <c r="G22" s="31">
        <f>B22*AVERAGE('Рынок труда'!$S$3:$S$32)</f>
        <v>38333504.93</v>
      </c>
      <c r="H22" s="31">
        <f>(1-'Рынок труда'!M53)*G22</f>
        <v>38333504.93</v>
      </c>
      <c r="I22" s="31"/>
      <c r="J22" s="31"/>
      <c r="K22" s="31"/>
      <c r="L22" s="31"/>
      <c r="M22" s="31">
        <f t="shared" si="11"/>
        <v>0.8329044673</v>
      </c>
      <c r="N22" s="31">
        <f t="shared" si="13"/>
        <v>0.08637328027</v>
      </c>
      <c r="O22" s="31">
        <f t="shared" si="1"/>
        <v>0.7609637763</v>
      </c>
      <c r="P22" s="31">
        <f t="shared" si="2"/>
        <v>38499854.6</v>
      </c>
      <c r="Q22" s="31">
        <f t="shared" si="3"/>
        <v>35174495.87</v>
      </c>
      <c r="R22" s="31">
        <f t="shared" si="4"/>
        <v>3325358.731</v>
      </c>
      <c r="S22" s="31">
        <f t="shared" si="5"/>
        <v>0.08637328027</v>
      </c>
      <c r="W22" s="31"/>
      <c r="X22" s="31"/>
      <c r="Y22" s="31"/>
      <c r="Z22" s="31"/>
      <c r="AA22" s="31"/>
      <c r="AB22" s="31"/>
      <c r="AC22" s="31"/>
      <c r="AD22" s="31">
        <f t="shared" si="12"/>
        <v>2394521.635</v>
      </c>
      <c r="AE22" s="31">
        <v>1.0</v>
      </c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</row>
    <row r="23">
      <c r="A23" s="54">
        <v>2042.0</v>
      </c>
      <c r="B23" s="13">
        <v>4.6311805E7</v>
      </c>
      <c r="C23" s="13">
        <f t="shared" si="8"/>
        <v>88191</v>
      </c>
      <c r="D23" s="57">
        <v>166289.0</v>
      </c>
      <c r="E23" s="13">
        <f t="shared" si="9"/>
        <v>46389903</v>
      </c>
      <c r="F23" s="58">
        <f t="shared" si="10"/>
        <v>254480</v>
      </c>
      <c r="G23" s="31">
        <f>B23*AVERAGE('Рынок труда'!$S$3:$S$32)</f>
        <v>38406642.23</v>
      </c>
      <c r="H23" s="31">
        <f>(1-'Рынок труда'!M54)*G23</f>
        <v>38406642.23</v>
      </c>
      <c r="I23" s="31"/>
      <c r="J23" s="31"/>
      <c r="K23" s="31"/>
      <c r="L23" s="31"/>
      <c r="M23" s="31">
        <f t="shared" si="11"/>
        <v>0.8328893313</v>
      </c>
      <c r="N23" s="31">
        <f t="shared" si="13"/>
        <v>0.03184028049</v>
      </c>
      <c r="O23" s="31">
        <f t="shared" si="1"/>
        <v>0.8063699014</v>
      </c>
      <c r="P23" s="31">
        <f t="shared" si="2"/>
        <v>38572608.3</v>
      </c>
      <c r="Q23" s="31">
        <f t="shared" si="3"/>
        <v>37344445.63</v>
      </c>
      <c r="R23" s="31">
        <f t="shared" si="4"/>
        <v>1228162.667</v>
      </c>
      <c r="S23" s="31">
        <f t="shared" si="5"/>
        <v>0.03184028049</v>
      </c>
      <c r="W23" s="31"/>
      <c r="X23" s="31"/>
      <c r="Y23" s="31"/>
      <c r="Z23" s="31"/>
      <c r="AA23" s="31"/>
      <c r="AB23" s="31"/>
      <c r="AC23" s="31"/>
      <c r="AD23" s="31">
        <f t="shared" si="12"/>
        <v>2445598.808</v>
      </c>
      <c r="AE23" s="31">
        <v>1.0</v>
      </c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</row>
    <row r="24">
      <c r="A24" s="54">
        <v>2043.0</v>
      </c>
      <c r="B24" s="13">
        <v>4.6331838E7</v>
      </c>
      <c r="C24" s="13">
        <f t="shared" si="8"/>
        <v>20033</v>
      </c>
      <c r="D24" s="57">
        <v>166591.0</v>
      </c>
      <c r="E24" s="13">
        <f t="shared" si="9"/>
        <v>46478396</v>
      </c>
      <c r="F24" s="58">
        <f t="shared" si="10"/>
        <v>186624</v>
      </c>
      <c r="G24" s="31">
        <f>B24*AVERAGE('Рынок труда'!$S$3:$S$32)</f>
        <v>38423255.71</v>
      </c>
      <c r="H24" s="31">
        <f>(1-'Рынок труда'!M55)*G24</f>
        <v>38423255.71</v>
      </c>
      <c r="I24" s="31"/>
      <c r="J24" s="31"/>
      <c r="K24" s="31"/>
      <c r="L24" s="31"/>
      <c r="M24" s="31">
        <f t="shared" si="11"/>
        <v>0.8328779793</v>
      </c>
      <c r="N24" s="31">
        <f t="shared" si="13"/>
        <v>0.06999629619</v>
      </c>
      <c r="O24" s="31">
        <f t="shared" si="1"/>
        <v>0.7745796056</v>
      </c>
      <c r="P24" s="31">
        <f t="shared" si="2"/>
        <v>38588767.61</v>
      </c>
      <c r="Q24" s="31">
        <f t="shared" si="3"/>
        <v>35887696.8</v>
      </c>
      <c r="R24" s="31">
        <f t="shared" si="4"/>
        <v>2701070.807</v>
      </c>
      <c r="S24" s="31">
        <f t="shared" si="5"/>
        <v>0.06999629619</v>
      </c>
      <c r="W24" s="31"/>
      <c r="X24" s="31"/>
      <c r="Y24" s="31"/>
      <c r="Z24" s="31"/>
      <c r="AA24" s="31"/>
      <c r="AB24" s="31"/>
      <c r="AC24" s="31"/>
      <c r="AD24" s="31">
        <f t="shared" si="12"/>
        <v>2497765.5</v>
      </c>
      <c r="AE24" s="31">
        <v>1.0</v>
      </c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</row>
    <row r="25">
      <c r="A25" s="54">
        <v>2044.0</v>
      </c>
      <c r="B25" s="13">
        <v>4.6365702E7</v>
      </c>
      <c r="C25" s="13">
        <f t="shared" si="8"/>
        <v>33864</v>
      </c>
      <c r="D25" s="57">
        <v>167015.0</v>
      </c>
      <c r="E25" s="13">
        <f t="shared" si="9"/>
        <v>46498853</v>
      </c>
      <c r="F25" s="58">
        <f t="shared" si="10"/>
        <v>200879</v>
      </c>
      <c r="G25" s="31">
        <f>B25*AVERAGE('Рынок труда'!$S$3:$S$32)</f>
        <v>38451339.32</v>
      </c>
      <c r="H25" s="31">
        <f>(1-'Рынок труда'!M56)*G25</f>
        <v>38451339.32</v>
      </c>
      <c r="I25" s="31"/>
      <c r="J25" s="31"/>
      <c r="K25" s="31"/>
      <c r="L25" s="31"/>
      <c r="M25" s="31">
        <f t="shared" si="11"/>
        <v>0.8328694653</v>
      </c>
      <c r="N25" s="31">
        <f t="shared" si="13"/>
        <v>0.03182319634</v>
      </c>
      <c r="O25" s="31">
        <f t="shared" si="1"/>
        <v>0.8063648967</v>
      </c>
      <c r="P25" s="31">
        <f t="shared" si="2"/>
        <v>38616577.43</v>
      </c>
      <c r="Q25" s="31">
        <f t="shared" si="3"/>
        <v>37387674.51</v>
      </c>
      <c r="R25" s="31">
        <f t="shared" si="4"/>
        <v>1228902.926</v>
      </c>
      <c r="S25" s="31">
        <f t="shared" si="5"/>
        <v>0.03182319634</v>
      </c>
      <c r="W25" s="31"/>
      <c r="X25" s="31"/>
      <c r="Y25" s="31"/>
      <c r="Z25" s="31"/>
      <c r="AA25" s="31"/>
      <c r="AB25" s="31"/>
      <c r="AC25" s="31"/>
      <c r="AD25" s="31">
        <f t="shared" si="12"/>
        <v>2551044.952</v>
      </c>
      <c r="AE25" s="31">
        <v>1.0</v>
      </c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</row>
    <row r="26">
      <c r="A26" s="54">
        <v>2045.0</v>
      </c>
      <c r="B26" s="13">
        <v>4.6383404E7</v>
      </c>
      <c r="C26" s="13">
        <f t="shared" si="8"/>
        <v>17702</v>
      </c>
      <c r="D26" s="57">
        <v>170371.0</v>
      </c>
      <c r="E26" s="13">
        <f t="shared" si="9"/>
        <v>46536073</v>
      </c>
      <c r="F26" s="58">
        <f t="shared" si="10"/>
        <v>188073</v>
      </c>
      <c r="G26" s="31">
        <f>B26*AVERAGE('Рынок труда'!$S$3:$S$32)</f>
        <v>38466019.69</v>
      </c>
      <c r="H26" s="31">
        <f>(1-'Рынок труда'!M57)*G26</f>
        <v>38466019.69</v>
      </c>
      <c r="I26" s="31"/>
      <c r="J26" s="31"/>
      <c r="K26" s="31"/>
      <c r="L26" s="31"/>
      <c r="M26" s="31">
        <f t="shared" si="11"/>
        <v>0.8328630798</v>
      </c>
      <c r="N26" s="31">
        <f t="shared" si="13"/>
        <v>0.05853240733</v>
      </c>
      <c r="O26" s="31">
        <f t="shared" si="1"/>
        <v>0.7841135987</v>
      </c>
      <c r="P26" s="31">
        <f t="shared" si="2"/>
        <v>38631024.7</v>
      </c>
      <c r="Q26" s="31">
        <f t="shared" si="3"/>
        <v>36369857.83</v>
      </c>
      <c r="R26" s="31">
        <f t="shared" si="4"/>
        <v>2261166.874</v>
      </c>
      <c r="S26" s="31">
        <f t="shared" si="5"/>
        <v>0.05853240733</v>
      </c>
      <c r="W26" s="31"/>
      <c r="X26" s="31"/>
      <c r="Y26" s="31"/>
      <c r="Z26" s="31"/>
      <c r="AA26" s="31"/>
      <c r="AB26" s="31"/>
      <c r="AC26" s="31"/>
      <c r="AD26" s="31">
        <f t="shared" si="12"/>
        <v>2605460.9</v>
      </c>
      <c r="AE26" s="31">
        <v>1.0</v>
      </c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</row>
    <row r="27">
      <c r="A27" s="54">
        <v>2046.0</v>
      </c>
      <c r="B27" s="13">
        <v>4.63469E7</v>
      </c>
      <c r="C27" s="13">
        <f t="shared" si="8"/>
        <v>-36504</v>
      </c>
      <c r="D27" s="57">
        <v>170419.0</v>
      </c>
      <c r="E27" s="13">
        <f t="shared" si="9"/>
        <v>46553823</v>
      </c>
      <c r="F27" s="58">
        <f t="shared" si="10"/>
        <v>133915</v>
      </c>
      <c r="G27" s="31">
        <f>B27*AVERAGE('Рынок труда'!$S$3:$S$32)</f>
        <v>38435746.71</v>
      </c>
      <c r="H27" s="31">
        <f>(1-'Рынок труда'!M58)*G27</f>
        <v>38435746.71</v>
      </c>
      <c r="I27" s="31"/>
      <c r="J27" s="31"/>
      <c r="K27" s="31"/>
      <c r="L27" s="31"/>
      <c r="M27" s="31">
        <f t="shared" si="11"/>
        <v>0.8328582906</v>
      </c>
      <c r="N27" s="31">
        <f t="shared" si="13"/>
        <v>0.03181123744</v>
      </c>
      <c r="O27" s="31">
        <f t="shared" si="1"/>
        <v>0.8063640378</v>
      </c>
      <c r="P27" s="31">
        <f t="shared" si="2"/>
        <v>38600399.91</v>
      </c>
      <c r="Q27" s="31">
        <f t="shared" si="3"/>
        <v>37372473.42</v>
      </c>
      <c r="R27" s="31">
        <f t="shared" si="4"/>
        <v>1227926.487</v>
      </c>
      <c r="S27" s="31">
        <f t="shared" si="5"/>
        <v>0.03181123744</v>
      </c>
      <c r="W27" s="31"/>
      <c r="X27" s="31"/>
      <c r="Y27" s="31"/>
      <c r="Z27" s="31"/>
      <c r="AA27" s="31"/>
      <c r="AB27" s="31"/>
      <c r="AC27" s="31"/>
      <c r="AD27" s="31">
        <f t="shared" si="12"/>
        <v>2661037.586</v>
      </c>
      <c r="AE27" s="31">
        <v>1.0</v>
      </c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</row>
    <row r="28">
      <c r="A28" s="54">
        <v>2047.0</v>
      </c>
      <c r="B28" s="13">
        <v>4.6305134E7</v>
      </c>
      <c r="C28" s="13">
        <f t="shared" si="8"/>
        <v>-41766</v>
      </c>
      <c r="D28" s="57">
        <v>171392.0</v>
      </c>
      <c r="E28" s="13">
        <f t="shared" si="9"/>
        <v>46518292</v>
      </c>
      <c r="F28" s="58">
        <f t="shared" si="10"/>
        <v>129626</v>
      </c>
      <c r="G28" s="31">
        <f>B28*AVERAGE('Рынок труда'!$S$3:$S$32)</f>
        <v>38401109.93</v>
      </c>
      <c r="H28" s="31">
        <f>(1-'Рынок труда'!M59)*G28</f>
        <v>38401109.93</v>
      </c>
      <c r="I28" s="31"/>
      <c r="J28" s="31"/>
      <c r="K28" s="31"/>
      <c r="L28" s="31"/>
      <c r="M28" s="31">
        <f t="shared" si="11"/>
        <v>0.8328546988</v>
      </c>
      <c r="N28" s="31">
        <f t="shared" si="13"/>
        <v>0.05050768513</v>
      </c>
      <c r="O28" s="31">
        <f t="shared" si="1"/>
        <v>0.7907891359</v>
      </c>
      <c r="P28" s="31">
        <f t="shared" si="2"/>
        <v>38565448.43</v>
      </c>
      <c r="Q28" s="31">
        <f t="shared" si="3"/>
        <v>36617596.9</v>
      </c>
      <c r="R28" s="31">
        <f t="shared" si="4"/>
        <v>1947851.526</v>
      </c>
      <c r="S28" s="31">
        <f t="shared" si="5"/>
        <v>0.05050768513</v>
      </c>
      <c r="W28" s="31"/>
      <c r="X28" s="31"/>
      <c r="Y28" s="31"/>
      <c r="Z28" s="31"/>
      <c r="AA28" s="31"/>
      <c r="AB28" s="31"/>
      <c r="AC28" s="31"/>
      <c r="AD28" s="31">
        <f t="shared" si="12"/>
        <v>2717799.769</v>
      </c>
      <c r="AE28" s="31">
        <v>1.0</v>
      </c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</row>
    <row r="29">
      <c r="A29" s="54">
        <v>2048.0</v>
      </c>
      <c r="B29" s="13">
        <v>4.6245148E7</v>
      </c>
      <c r="C29" s="13">
        <f t="shared" si="8"/>
        <v>-59986</v>
      </c>
      <c r="D29" s="57">
        <v>170387.0</v>
      </c>
      <c r="E29" s="13">
        <f t="shared" si="9"/>
        <v>46475521</v>
      </c>
      <c r="F29" s="58">
        <f t="shared" si="10"/>
        <v>110401</v>
      </c>
      <c r="G29" s="31">
        <f>B29*AVERAGE('Рынок труда'!$S$3:$S$32)</f>
        <v>38351363.2</v>
      </c>
      <c r="H29" s="31">
        <f>(1-'Рынок труда'!M60)*G29</f>
        <v>38351363.2</v>
      </c>
      <c r="I29" s="31"/>
      <c r="J29" s="31"/>
      <c r="K29" s="31"/>
      <c r="L29" s="31"/>
      <c r="M29" s="31">
        <f t="shared" si="11"/>
        <v>0.8328520049</v>
      </c>
      <c r="N29" s="31">
        <f t="shared" si="13"/>
        <v>0.03180286621</v>
      </c>
      <c r="O29" s="31">
        <f t="shared" si="1"/>
        <v>0.806364924</v>
      </c>
      <c r="P29" s="31">
        <f t="shared" si="2"/>
        <v>38515364.23</v>
      </c>
      <c r="Q29" s="31">
        <f t="shared" si="3"/>
        <v>37290465.25</v>
      </c>
      <c r="R29" s="31">
        <f t="shared" si="4"/>
        <v>1224898.975</v>
      </c>
      <c r="S29" s="31">
        <f t="shared" si="5"/>
        <v>0.03180286621</v>
      </c>
      <c r="W29" s="31"/>
      <c r="X29" s="31"/>
      <c r="Y29" s="31"/>
      <c r="Z29" s="31"/>
      <c r="AA29" s="31"/>
      <c r="AB29" s="31"/>
      <c r="AC29" s="31"/>
      <c r="AD29" s="31">
        <f t="shared" si="12"/>
        <v>2775772.739</v>
      </c>
      <c r="AE29" s="31">
        <v>1.0</v>
      </c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</row>
    <row r="30">
      <c r="A30" s="54">
        <v>2049.0</v>
      </c>
      <c r="B30" s="13">
        <v>4.6192645E7</v>
      </c>
      <c r="C30" s="13">
        <f t="shared" si="8"/>
        <v>-52503</v>
      </c>
      <c r="D30" s="57">
        <v>170647.0</v>
      </c>
      <c r="E30" s="13">
        <f t="shared" si="9"/>
        <v>46415795</v>
      </c>
      <c r="F30" s="58">
        <f t="shared" si="10"/>
        <v>118144</v>
      </c>
      <c r="G30" s="31">
        <f>B30*AVERAGE('Рынок труда'!$S$3:$S$32)</f>
        <v>38307822.17</v>
      </c>
      <c r="H30" s="31">
        <f>(1-'Рынок труда'!M61)*G30</f>
        <v>38307822.17</v>
      </c>
      <c r="I30" s="31"/>
      <c r="J30" s="31"/>
      <c r="K30" s="31"/>
      <c r="L30" s="31"/>
      <c r="M30" s="31">
        <f t="shared" si="11"/>
        <v>0.8328499845</v>
      </c>
      <c r="N30" s="31">
        <f t="shared" si="13"/>
        <v>0.04489037959</v>
      </c>
      <c r="O30" s="31">
        <f t="shared" si="1"/>
        <v>0.7954630325</v>
      </c>
      <c r="P30" s="31">
        <f t="shared" si="2"/>
        <v>38471543.67</v>
      </c>
      <c r="Q30" s="31">
        <f t="shared" si="3"/>
        <v>36744541.47</v>
      </c>
      <c r="R30" s="31">
        <f t="shared" si="4"/>
        <v>1727002.199</v>
      </c>
      <c r="S30" s="31">
        <f t="shared" si="5"/>
        <v>0.04489037959</v>
      </c>
      <c r="W30" s="31"/>
      <c r="X30" s="31"/>
      <c r="Y30" s="31"/>
      <c r="Z30" s="31"/>
      <c r="AA30" s="31"/>
      <c r="AB30" s="31"/>
      <c r="AC30" s="31"/>
      <c r="AD30" s="31">
        <f t="shared" si="12"/>
        <v>2834982.32</v>
      </c>
      <c r="AE30" s="31">
        <v>1.0</v>
      </c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</row>
    <row r="31">
      <c r="A31" s="54">
        <v>2050.0</v>
      </c>
      <c r="B31" s="13">
        <v>4.6129956E7</v>
      </c>
      <c r="C31" s="13">
        <f t="shared" si="8"/>
        <v>-62689</v>
      </c>
      <c r="D31" s="57">
        <v>171497.0</v>
      </c>
      <c r="E31" s="13">
        <f t="shared" si="9"/>
        <v>46364142</v>
      </c>
      <c r="F31" s="58">
        <f t="shared" si="10"/>
        <v>108808</v>
      </c>
      <c r="G31" s="31">
        <f>B31*AVERAGE('Рынок труда'!$S$3:$S$32)</f>
        <v>38255833.82</v>
      </c>
      <c r="H31" s="31">
        <f>(1-'Рынок труда'!M62)*G31</f>
        <v>38255833.82</v>
      </c>
      <c r="I31" s="31"/>
      <c r="J31" s="31"/>
      <c r="K31" s="31"/>
      <c r="L31" s="31"/>
      <c r="M31" s="31">
        <f t="shared" si="11"/>
        <v>0.8328484692</v>
      </c>
      <c r="N31" s="31">
        <f t="shared" si="13"/>
        <v>0.03179700634</v>
      </c>
      <c r="O31" s="31">
        <f t="shared" si="1"/>
        <v>0.8063663811</v>
      </c>
      <c r="P31" s="31">
        <f t="shared" si="2"/>
        <v>38419263.24</v>
      </c>
      <c r="Q31" s="31">
        <f t="shared" si="3"/>
        <v>37197645.68</v>
      </c>
      <c r="R31" s="31">
        <f t="shared" si="4"/>
        <v>1221617.557</v>
      </c>
      <c r="S31" s="31">
        <f t="shared" si="5"/>
        <v>0.03179700634</v>
      </c>
      <c r="W31" s="31"/>
      <c r="X31" s="31"/>
      <c r="Y31" s="31"/>
      <c r="Z31" s="31"/>
      <c r="AA31" s="31"/>
      <c r="AB31" s="31"/>
      <c r="AC31" s="31"/>
      <c r="AD31" s="31">
        <f t="shared" si="12"/>
        <v>2895454.892</v>
      </c>
      <c r="AE31" s="31">
        <v>1.0</v>
      </c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</row>
    <row r="32">
      <c r="A32" s="54">
        <v>2051.0</v>
      </c>
      <c r="B32" s="13">
        <v>4.6048762E7</v>
      </c>
      <c r="C32" s="13">
        <f t="shared" si="8"/>
        <v>-81194</v>
      </c>
      <c r="D32" s="57">
        <v>173820.0</v>
      </c>
      <c r="E32" s="13">
        <f t="shared" si="9"/>
        <v>46303776</v>
      </c>
      <c r="F32" s="58">
        <f t="shared" si="10"/>
        <v>92626</v>
      </c>
      <c r="G32" s="31">
        <f>B32*AVERAGE('Рынок труда'!$S$3:$S$32)</f>
        <v>38188499.18</v>
      </c>
      <c r="H32" s="31">
        <f>(1-'Рынок труда'!M63)*G32</f>
        <v>38188499.18</v>
      </c>
      <c r="I32" s="31"/>
      <c r="J32" s="31"/>
      <c r="K32" s="31"/>
      <c r="L32" s="31"/>
      <c r="M32" s="31">
        <f t="shared" si="11"/>
        <v>0.8328473327</v>
      </c>
      <c r="N32" s="31">
        <f t="shared" si="13"/>
        <v>0.04095826571</v>
      </c>
      <c r="O32" s="31">
        <f t="shared" si="1"/>
        <v>0.7987353503</v>
      </c>
      <c r="P32" s="31">
        <f t="shared" si="2"/>
        <v>38351588.6</v>
      </c>
      <c r="Q32" s="31">
        <f t="shared" si="3"/>
        <v>36780774.05</v>
      </c>
      <c r="R32" s="31">
        <f t="shared" si="4"/>
        <v>1570814.557</v>
      </c>
      <c r="S32" s="31">
        <f t="shared" si="5"/>
        <v>0.04095826571</v>
      </c>
      <c r="W32" s="31"/>
      <c r="X32" s="31"/>
      <c r="Y32" s="31"/>
      <c r="Z32" s="31"/>
      <c r="AA32" s="31"/>
      <c r="AB32" s="31"/>
      <c r="AC32" s="31"/>
      <c r="AD32" s="31">
        <f t="shared" si="12"/>
        <v>2957217.395</v>
      </c>
      <c r="AE32" s="31">
        <v>1.0</v>
      </c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</row>
    <row r="33">
      <c r="A33" s="54">
        <v>2052.0</v>
      </c>
      <c r="B33" s="13">
        <v>4.5929032E7</v>
      </c>
      <c r="C33" s="13">
        <f t="shared" si="8"/>
        <v>-119730</v>
      </c>
      <c r="D33" s="57">
        <v>175379.0</v>
      </c>
      <c r="E33" s="13">
        <f t="shared" si="9"/>
        <v>46224141</v>
      </c>
      <c r="F33" s="58">
        <f t="shared" si="10"/>
        <v>55649</v>
      </c>
      <c r="G33" s="31">
        <f>B33*AVERAGE('Рынок труда'!$S$3:$S$32)</f>
        <v>38089206.41</v>
      </c>
      <c r="H33" s="31">
        <f>(1-'Рынок труда'!M64)*G33</f>
        <v>38089206.41</v>
      </c>
      <c r="I33" s="31"/>
      <c r="J33" s="31"/>
      <c r="K33" s="31"/>
      <c r="L33" s="31"/>
      <c r="M33" s="31">
        <f t="shared" si="11"/>
        <v>0.8328464803</v>
      </c>
      <c r="N33" s="31">
        <f t="shared" si="13"/>
        <v>0.03179290444</v>
      </c>
      <c r="O33" s="31">
        <f t="shared" si="1"/>
        <v>0.8063678717</v>
      </c>
      <c r="P33" s="31">
        <f t="shared" si="2"/>
        <v>38251832.65</v>
      </c>
      <c r="Q33" s="31">
        <f t="shared" si="3"/>
        <v>37035695.79</v>
      </c>
      <c r="R33" s="31">
        <f t="shared" si="4"/>
        <v>1216136.86</v>
      </c>
      <c r="S33" s="31">
        <f t="shared" si="5"/>
        <v>0.03179290444</v>
      </c>
      <c r="W33" s="31"/>
      <c r="X33" s="31"/>
      <c r="Y33" s="31"/>
      <c r="Z33" s="31"/>
      <c r="AA33" s="31"/>
      <c r="AB33" s="31"/>
      <c r="AC33" s="31"/>
      <c r="AD33" s="31">
        <f t="shared" si="12"/>
        <v>3020297.345</v>
      </c>
      <c r="AE33" s="31">
        <v>1.0</v>
      </c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</row>
    <row r="34">
      <c r="A34" s="54">
        <v>2053.0</v>
      </c>
      <c r="B34" s="13">
        <v>4.5780537E7</v>
      </c>
      <c r="C34" s="13">
        <f t="shared" si="8"/>
        <v>-148495</v>
      </c>
      <c r="D34" s="57">
        <v>177484.0</v>
      </c>
      <c r="E34" s="13">
        <f t="shared" si="9"/>
        <v>46106516</v>
      </c>
      <c r="F34" s="58">
        <f t="shared" si="10"/>
        <v>28989</v>
      </c>
      <c r="G34" s="31">
        <f>B34*AVERAGE('Рынок труда'!$S$3:$S$32)</f>
        <v>37966058.67</v>
      </c>
      <c r="H34" s="31">
        <f>(1-'Рынок труда'!M65)*G34</f>
        <v>37966058.67</v>
      </c>
      <c r="I34" s="31"/>
      <c r="J34" s="31"/>
      <c r="K34" s="31"/>
      <c r="L34" s="31"/>
      <c r="M34" s="31">
        <f t="shared" si="11"/>
        <v>0.832845841</v>
      </c>
      <c r="N34" s="31">
        <f t="shared" si="13"/>
        <v>0.038205786</v>
      </c>
      <c r="O34" s="31">
        <f t="shared" si="1"/>
        <v>0.8010263111</v>
      </c>
      <c r="P34" s="31">
        <f t="shared" si="2"/>
        <v>38128129.84</v>
      </c>
      <c r="Q34" s="31">
        <f t="shared" si="3"/>
        <v>36671414.67</v>
      </c>
      <c r="R34" s="31">
        <f t="shared" si="4"/>
        <v>1456715.169</v>
      </c>
      <c r="S34" s="31">
        <f t="shared" si="5"/>
        <v>0.038205786</v>
      </c>
      <c r="W34" s="31"/>
      <c r="X34" s="31"/>
      <c r="Y34" s="31"/>
      <c r="Z34" s="31"/>
      <c r="AA34" s="31"/>
      <c r="AB34" s="31"/>
      <c r="AC34" s="31"/>
      <c r="AD34" s="31">
        <f t="shared" si="12"/>
        <v>3084722.844</v>
      </c>
      <c r="AE34" s="31">
        <v>1.0</v>
      </c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</row>
    <row r="35">
      <c r="A35" s="54">
        <v>2054.0</v>
      </c>
      <c r="B35" s="13">
        <v>4.5595433E7</v>
      </c>
      <c r="C35" s="13">
        <f t="shared" si="8"/>
        <v>-185104</v>
      </c>
      <c r="D35" s="57">
        <v>175821.0</v>
      </c>
      <c r="E35" s="13">
        <f t="shared" si="9"/>
        <v>45956358</v>
      </c>
      <c r="F35" s="58">
        <f t="shared" si="10"/>
        <v>-9283</v>
      </c>
      <c r="G35" s="31">
        <f>B35*AVERAGE('Рынок труда'!$S$3:$S$32)</f>
        <v>37812550.87</v>
      </c>
      <c r="H35" s="31">
        <f>(1-'Рынок труда'!M66)*G35</f>
        <v>37812550.87</v>
      </c>
      <c r="I35" s="31"/>
      <c r="J35" s="31"/>
      <c r="K35" s="31"/>
      <c r="L35" s="31"/>
      <c r="M35" s="31">
        <f t="shared" si="11"/>
        <v>0.8328453616</v>
      </c>
      <c r="N35" s="31">
        <f t="shared" si="13"/>
        <v>0.03179003311</v>
      </c>
      <c r="O35" s="31">
        <f t="shared" si="1"/>
        <v>0.80636918</v>
      </c>
      <c r="P35" s="31">
        <f t="shared" si="2"/>
        <v>37973944.88</v>
      </c>
      <c r="Q35" s="31">
        <f t="shared" si="3"/>
        <v>36766751.92</v>
      </c>
      <c r="R35" s="31">
        <f t="shared" si="4"/>
        <v>1207192.965</v>
      </c>
      <c r="S35" s="31">
        <f t="shared" si="5"/>
        <v>0.03179003311</v>
      </c>
      <c r="W35" s="31"/>
      <c r="X35" s="31"/>
      <c r="Y35" s="31"/>
      <c r="Z35" s="31"/>
      <c r="AA35" s="31"/>
      <c r="AB35" s="31"/>
      <c r="AC35" s="31"/>
      <c r="AD35" s="31">
        <f t="shared" si="12"/>
        <v>3150522.592</v>
      </c>
      <c r="AE35" s="31">
        <v>1.0</v>
      </c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</row>
    <row r="36">
      <c r="A36" s="54">
        <v>2055.0</v>
      </c>
      <c r="B36" s="13">
        <v>4.5423861E7</v>
      </c>
      <c r="C36" s="13">
        <f t="shared" si="8"/>
        <v>-171572</v>
      </c>
      <c r="D36" s="57">
        <v>176799.0</v>
      </c>
      <c r="E36" s="13">
        <f t="shared" si="9"/>
        <v>45772232</v>
      </c>
      <c r="F36" s="58">
        <f t="shared" si="10"/>
        <v>5227</v>
      </c>
      <c r="G36" s="31">
        <f>B36*AVERAGE('Рынок труда'!$S$3:$S$32)</f>
        <v>37670265.24</v>
      </c>
      <c r="H36" s="31">
        <f>(1-'Рынок труда'!M67)*G36</f>
        <v>37670265.24</v>
      </c>
      <c r="I36" s="31"/>
      <c r="J36" s="31"/>
      <c r="K36" s="31"/>
      <c r="L36" s="31"/>
      <c r="M36" s="31">
        <f t="shared" si="11"/>
        <v>0.832845002</v>
      </c>
      <c r="N36" s="31">
        <f t="shared" si="13"/>
        <v>0.0362790502</v>
      </c>
      <c r="O36" s="31">
        <f t="shared" si="1"/>
        <v>0.8026301764</v>
      </c>
      <c r="P36" s="31">
        <f t="shared" si="2"/>
        <v>37831035.6</v>
      </c>
      <c r="Q36" s="31">
        <f t="shared" si="3"/>
        <v>36458561.57</v>
      </c>
      <c r="R36" s="31">
        <f t="shared" si="4"/>
        <v>1372474.04</v>
      </c>
      <c r="S36" s="31">
        <f t="shared" si="5"/>
        <v>0.0362790502</v>
      </c>
      <c r="W36" s="31"/>
      <c r="X36" s="31"/>
      <c r="Y36" s="31"/>
      <c r="Z36" s="31"/>
      <c r="AA36" s="31"/>
      <c r="AB36" s="31"/>
      <c r="AC36" s="31"/>
      <c r="AD36" s="31">
        <f t="shared" si="12"/>
        <v>3217725.905</v>
      </c>
      <c r="AE36" s="31">
        <v>1.0</v>
      </c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</row>
    <row r="37">
      <c r="A37" s="54">
        <v>2056.0</v>
      </c>
      <c r="B37" s="13">
        <v>4.5229792E7</v>
      </c>
      <c r="C37" s="13">
        <f t="shared" si="8"/>
        <v>-194069</v>
      </c>
      <c r="D37" s="57">
        <v>170832.0</v>
      </c>
      <c r="E37" s="13">
        <f t="shared" si="9"/>
        <v>45594693</v>
      </c>
      <c r="F37" s="58">
        <f t="shared" si="10"/>
        <v>-23237</v>
      </c>
      <c r="G37" s="31">
        <f>B37*AVERAGE('Рынок труда'!$S$3:$S$32)</f>
        <v>37509322.72</v>
      </c>
      <c r="H37" s="31">
        <f>(1-'Рынок труда'!M68)*G37</f>
        <v>37509322.72</v>
      </c>
      <c r="I37" s="31"/>
      <c r="J37" s="31"/>
      <c r="K37" s="31"/>
      <c r="L37" s="31"/>
      <c r="M37" s="31">
        <f t="shared" si="11"/>
        <v>0.8328447323</v>
      </c>
      <c r="N37" s="31">
        <f t="shared" si="13"/>
        <v>0.03178802318</v>
      </c>
      <c r="O37" s="31">
        <f t="shared" si="1"/>
        <v>0.8063702446</v>
      </c>
      <c r="P37" s="31">
        <f t="shared" si="2"/>
        <v>37669394.01</v>
      </c>
      <c r="Q37" s="31">
        <f t="shared" si="3"/>
        <v>36471958.44</v>
      </c>
      <c r="R37" s="31">
        <f t="shared" si="4"/>
        <v>1197435.57</v>
      </c>
      <c r="S37" s="31">
        <f t="shared" si="5"/>
        <v>0.03178802318</v>
      </c>
      <c r="W37" s="31"/>
      <c r="X37" s="31"/>
      <c r="Y37" s="31"/>
      <c r="Z37" s="31"/>
      <c r="AA37" s="31"/>
      <c r="AB37" s="31"/>
      <c r="AC37" s="31"/>
      <c r="AD37" s="31">
        <f t="shared" si="12"/>
        <v>3286362.722</v>
      </c>
      <c r="AE37" s="31">
        <v>1.0</v>
      </c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</row>
    <row r="38">
      <c r="A38" s="54">
        <v>2057.0</v>
      </c>
      <c r="B38" s="13">
        <v>4.5105843E7</v>
      </c>
      <c r="C38" s="13">
        <f t="shared" si="8"/>
        <v>-123949</v>
      </c>
      <c r="D38" s="57">
        <v>168705.0</v>
      </c>
      <c r="E38" s="13">
        <f t="shared" si="9"/>
        <v>45398497</v>
      </c>
      <c r="F38" s="58">
        <f t="shared" si="10"/>
        <v>44756</v>
      </c>
      <c r="G38" s="31">
        <f>B38*AVERAGE('Рынок труда'!$S$3:$S$32)</f>
        <v>37406531.11</v>
      </c>
      <c r="H38" s="31">
        <f>(1-'Рынок труда'!M69)*G38</f>
        <v>37406531.11</v>
      </c>
      <c r="I38" s="31"/>
      <c r="J38" s="31"/>
      <c r="K38" s="31"/>
      <c r="L38" s="31"/>
      <c r="M38" s="31">
        <f t="shared" si="11"/>
        <v>0.83284453</v>
      </c>
      <c r="N38" s="31">
        <f t="shared" si="13"/>
        <v>0.03493033514</v>
      </c>
      <c r="O38" s="31">
        <f t="shared" si="1"/>
        <v>0.8037529915</v>
      </c>
      <c r="P38" s="31">
        <f t="shared" si="2"/>
        <v>37566154.61</v>
      </c>
      <c r="Q38" s="31">
        <f t="shared" si="3"/>
        <v>36253956.24</v>
      </c>
      <c r="R38" s="31">
        <f t="shared" si="4"/>
        <v>1312198.371</v>
      </c>
      <c r="S38" s="31">
        <f t="shared" si="5"/>
        <v>0.03493033514</v>
      </c>
      <c r="W38" s="31"/>
      <c r="X38" s="31"/>
      <c r="Y38" s="31"/>
      <c r="Z38" s="31"/>
      <c r="AA38" s="31"/>
      <c r="AB38" s="31"/>
      <c r="AC38" s="31"/>
      <c r="AD38" s="31">
        <f t="shared" si="12"/>
        <v>3356463.62</v>
      </c>
      <c r="AE38" s="31">
        <v>1.0</v>
      </c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</row>
    <row r="39">
      <c r="A39" s="54">
        <v>2058.0</v>
      </c>
      <c r="B39" s="13">
        <v>4.5000049E7</v>
      </c>
      <c r="C39" s="13">
        <f t="shared" si="8"/>
        <v>-105794</v>
      </c>
      <c r="D39" s="57">
        <v>167695.0</v>
      </c>
      <c r="E39" s="13">
        <f t="shared" si="9"/>
        <v>45273538</v>
      </c>
      <c r="F39" s="58">
        <f t="shared" si="10"/>
        <v>61901</v>
      </c>
      <c r="G39" s="31">
        <f>B39*AVERAGE('Рынок труда'!$S$3:$S$32)</f>
        <v>37318795.55</v>
      </c>
      <c r="H39" s="31">
        <f>(1-'Рынок труда'!M70)*G39</f>
        <v>37318795.55</v>
      </c>
      <c r="I39" s="31"/>
      <c r="J39" s="31"/>
      <c r="K39" s="31"/>
      <c r="L39" s="31"/>
      <c r="M39" s="31">
        <f t="shared" si="11"/>
        <v>0.8328443783</v>
      </c>
      <c r="N39" s="31">
        <f t="shared" si="13"/>
        <v>0.03178661622</v>
      </c>
      <c r="O39" s="31">
        <f t="shared" si="1"/>
        <v>0.8063710737</v>
      </c>
      <c r="P39" s="31">
        <f t="shared" si="2"/>
        <v>37478037.83</v>
      </c>
      <c r="Q39" s="31">
        <f t="shared" si="3"/>
        <v>36286737.83</v>
      </c>
      <c r="R39" s="31">
        <f t="shared" si="4"/>
        <v>1191300.005</v>
      </c>
      <c r="S39" s="31">
        <f t="shared" si="5"/>
        <v>0.03178661622</v>
      </c>
      <c r="W39" s="31"/>
      <c r="X39" s="31"/>
      <c r="Y39" s="31"/>
      <c r="Z39" s="31"/>
      <c r="AA39" s="31"/>
      <c r="AB39" s="31"/>
      <c r="AC39" s="31"/>
      <c r="AD39" s="31">
        <f t="shared" si="12"/>
        <v>3428059.83</v>
      </c>
      <c r="AE39" s="31">
        <v>1.0</v>
      </c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</row>
    <row r="40">
      <c r="A40" s="54">
        <v>2059.0</v>
      </c>
      <c r="B40" s="13">
        <v>4.4897682E7</v>
      </c>
      <c r="C40" s="13">
        <f t="shared" si="8"/>
        <v>-102367</v>
      </c>
      <c r="D40" s="57">
        <v>165835.0</v>
      </c>
      <c r="E40" s="13">
        <f t="shared" si="9"/>
        <v>45165884</v>
      </c>
      <c r="F40" s="58">
        <f t="shared" si="10"/>
        <v>63468</v>
      </c>
      <c r="G40" s="31">
        <f>B40*AVERAGE('Рынок труда'!$S$3:$S$32)</f>
        <v>37233902.02</v>
      </c>
      <c r="H40" s="31">
        <f>(1-'Рынок труда'!M71)*G40</f>
        <v>37233902.02</v>
      </c>
      <c r="I40" s="31"/>
      <c r="J40" s="31"/>
      <c r="K40" s="31"/>
      <c r="L40" s="31"/>
      <c r="M40" s="31">
        <f t="shared" si="11"/>
        <v>0.8328442645</v>
      </c>
      <c r="N40" s="31">
        <f t="shared" si="13"/>
        <v>0.0339862346</v>
      </c>
      <c r="O40" s="31">
        <f t="shared" si="1"/>
        <v>0.804539024</v>
      </c>
      <c r="P40" s="31">
        <f t="shared" si="2"/>
        <v>37392776.95</v>
      </c>
      <c r="Q40" s="31">
        <f t="shared" si="3"/>
        <v>36121937.26</v>
      </c>
      <c r="R40" s="31">
        <f t="shared" si="4"/>
        <v>1270839.69</v>
      </c>
      <c r="S40" s="31">
        <f t="shared" si="5"/>
        <v>0.0339862346</v>
      </c>
      <c r="W40" s="31"/>
      <c r="X40" s="31"/>
      <c r="Y40" s="31"/>
      <c r="Z40" s="31"/>
      <c r="AA40" s="31"/>
      <c r="AB40" s="31"/>
      <c r="AC40" s="31"/>
      <c r="AD40" s="31">
        <f t="shared" si="12"/>
        <v>3501183.247</v>
      </c>
      <c r="AE40" s="31">
        <v>1.0</v>
      </c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</row>
    <row r="41">
      <c r="A41" s="54">
        <v>2060.0</v>
      </c>
      <c r="B41" s="13">
        <v>4.4810474E7</v>
      </c>
      <c r="C41" s="13">
        <f t="shared" si="8"/>
        <v>-87208</v>
      </c>
      <c r="D41" s="57">
        <v>165082.0</v>
      </c>
      <c r="E41" s="13">
        <f t="shared" si="9"/>
        <v>45062764</v>
      </c>
      <c r="F41" s="58">
        <f t="shared" si="10"/>
        <v>77874</v>
      </c>
      <c r="G41" s="31">
        <f>B41*AVERAGE('Рынок труда'!$S$3:$S$32)</f>
        <v>37161579.93</v>
      </c>
      <c r="H41" s="31">
        <f>(1-'Рынок труда'!M72)*G41</f>
        <v>37161579.93</v>
      </c>
      <c r="I41" s="31"/>
      <c r="J41" s="31"/>
      <c r="K41" s="31"/>
      <c r="L41" s="31"/>
      <c r="M41" s="31">
        <f t="shared" si="11"/>
        <v>0.8328441792</v>
      </c>
      <c r="N41" s="31">
        <f t="shared" si="13"/>
        <v>0.03178563136</v>
      </c>
      <c r="O41" s="31">
        <f t="shared" si="1"/>
        <v>0.8063717012</v>
      </c>
      <c r="P41" s="31">
        <f t="shared" si="2"/>
        <v>37320142.44</v>
      </c>
      <c r="Q41" s="31">
        <f t="shared" si="3"/>
        <v>36133898.15</v>
      </c>
      <c r="R41" s="31">
        <f t="shared" si="4"/>
        <v>1186244.29</v>
      </c>
      <c r="S41" s="31">
        <f t="shared" si="5"/>
        <v>0.03178563136</v>
      </c>
      <c r="W41" s="31"/>
      <c r="X41" s="31"/>
      <c r="Y41" s="31"/>
      <c r="Z41" s="31"/>
      <c r="AA41" s="31"/>
      <c r="AB41" s="31"/>
      <c r="AC41" s="31"/>
      <c r="AD41" s="31">
        <f t="shared" si="12"/>
        <v>3575866.449</v>
      </c>
      <c r="AE41" s="31">
        <v>1.0</v>
      </c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</row>
    <row r="42">
      <c r="A42" s="54">
        <v>2061.0</v>
      </c>
      <c r="B42" s="13">
        <v>4.4723909E7</v>
      </c>
      <c r="C42" s="13">
        <f t="shared" si="8"/>
        <v>-86565</v>
      </c>
      <c r="D42" s="57">
        <v>166202.0</v>
      </c>
      <c r="E42" s="13">
        <f t="shared" si="9"/>
        <v>44976676</v>
      </c>
      <c r="F42" s="58">
        <f t="shared" si="10"/>
        <v>79637</v>
      </c>
      <c r="G42" s="31">
        <f>B42*AVERAGE('Рынок труда'!$S$3:$S$32)</f>
        <v>37089791.08</v>
      </c>
      <c r="H42" s="31">
        <f>(1-'Рынок труда'!M73)*G42</f>
        <v>37089791.08</v>
      </c>
      <c r="I42" s="31"/>
      <c r="J42" s="31"/>
      <c r="K42" s="31"/>
      <c r="L42" s="31"/>
      <c r="M42" s="31">
        <f t="shared" si="11"/>
        <v>0.8328441152</v>
      </c>
      <c r="N42" s="31">
        <f t="shared" si="13"/>
        <v>0.03332536422</v>
      </c>
      <c r="O42" s="31">
        <f t="shared" si="1"/>
        <v>0.8050892817</v>
      </c>
      <c r="P42" s="31">
        <f t="shared" si="2"/>
        <v>37248044.42</v>
      </c>
      <c r="Q42" s="31">
        <f t="shared" si="3"/>
        <v>36006739.77</v>
      </c>
      <c r="R42" s="31">
        <f t="shared" si="4"/>
        <v>1241304.647</v>
      </c>
      <c r="S42" s="31">
        <f t="shared" si="5"/>
        <v>0.03332536422</v>
      </c>
      <c r="W42" s="31"/>
      <c r="X42" s="31"/>
      <c r="Y42" s="31"/>
      <c r="Z42" s="31"/>
      <c r="AA42" s="31"/>
      <c r="AB42" s="31"/>
      <c r="AC42" s="31"/>
      <c r="AD42" s="31">
        <f t="shared" si="12"/>
        <v>3652142.706</v>
      </c>
      <c r="AE42" s="31">
        <v>1.0</v>
      </c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</row>
    <row r="43">
      <c r="A43" s="54">
        <v>2062.0</v>
      </c>
      <c r="B43" s="13">
        <v>4.4613753E7</v>
      </c>
      <c r="C43" s="13">
        <f t="shared" si="8"/>
        <v>-110156</v>
      </c>
      <c r="D43" s="57">
        <v>166787.0</v>
      </c>
      <c r="E43" s="13">
        <f t="shared" si="9"/>
        <v>44890696</v>
      </c>
      <c r="F43" s="58">
        <f t="shared" si="10"/>
        <v>56631</v>
      </c>
      <c r="G43" s="31">
        <f>B43*AVERAGE('Рынок труда'!$S$3:$S$32)</f>
        <v>36998438.09</v>
      </c>
      <c r="H43" s="31">
        <f>(1-'Рынок труда'!M74)*G43</f>
        <v>36998438.09</v>
      </c>
      <c r="I43" s="31"/>
      <c r="J43" s="31"/>
      <c r="K43" s="31"/>
      <c r="L43" s="31"/>
      <c r="M43" s="31">
        <f t="shared" si="11"/>
        <v>0.8328440672</v>
      </c>
      <c r="N43" s="31">
        <f t="shared" si="13"/>
        <v>0.03178494195</v>
      </c>
      <c r="O43" s="31">
        <f t="shared" si="1"/>
        <v>0.8063721669</v>
      </c>
      <c r="P43" s="31">
        <f t="shared" si="2"/>
        <v>37156299.5</v>
      </c>
      <c r="Q43" s="31">
        <f t="shared" si="3"/>
        <v>35975288.68</v>
      </c>
      <c r="R43" s="31">
        <f t="shared" si="4"/>
        <v>1181010.823</v>
      </c>
      <c r="S43" s="31">
        <f t="shared" si="5"/>
        <v>0.03178494195</v>
      </c>
      <c r="W43" s="31"/>
      <c r="X43" s="31"/>
      <c r="Y43" s="31"/>
      <c r="Z43" s="31"/>
      <c r="AA43" s="31"/>
      <c r="AB43" s="31"/>
      <c r="AC43" s="31"/>
      <c r="AD43" s="31">
        <f t="shared" si="12"/>
        <v>3730046.001</v>
      </c>
      <c r="AE43" s="31">
        <v>1.0</v>
      </c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</row>
    <row r="44">
      <c r="A44" s="54">
        <v>2063.0</v>
      </c>
      <c r="B44" s="13">
        <v>4.4488023E7</v>
      </c>
      <c r="C44" s="13">
        <f t="shared" si="8"/>
        <v>-125730</v>
      </c>
      <c r="D44" s="57">
        <v>164297.0</v>
      </c>
      <c r="E44" s="13">
        <f t="shared" si="9"/>
        <v>44778050</v>
      </c>
      <c r="F44" s="58">
        <f t="shared" si="10"/>
        <v>38567</v>
      </c>
      <c r="G44" s="31">
        <f>B44*AVERAGE('Рынок труда'!$S$3:$S$32)</f>
        <v>36894169.49</v>
      </c>
      <c r="H44" s="31">
        <f>(1-'Рынок труда'!M75)*G44</f>
        <v>36894169.49</v>
      </c>
      <c r="I44" s="31"/>
      <c r="J44" s="31"/>
      <c r="K44" s="31"/>
      <c r="L44" s="31"/>
      <c r="M44" s="31">
        <f t="shared" si="11"/>
        <v>0.8328440312</v>
      </c>
      <c r="N44" s="31">
        <f t="shared" si="13"/>
        <v>0.03286275495</v>
      </c>
      <c r="O44" s="31">
        <f t="shared" si="1"/>
        <v>0.8054744819</v>
      </c>
      <c r="P44" s="31">
        <f t="shared" si="2"/>
        <v>37051584.42</v>
      </c>
      <c r="Q44" s="31">
        <f t="shared" si="3"/>
        <v>35833967.28</v>
      </c>
      <c r="R44" s="31">
        <f t="shared" si="4"/>
        <v>1217617.139</v>
      </c>
      <c r="S44" s="31">
        <f t="shared" si="5"/>
        <v>0.03286275495</v>
      </c>
      <c r="W44" s="31"/>
      <c r="X44" s="31"/>
      <c r="Y44" s="31"/>
      <c r="Z44" s="31"/>
      <c r="AA44" s="31"/>
      <c r="AB44" s="31"/>
      <c r="AC44" s="31"/>
      <c r="AD44" s="31">
        <f t="shared" si="12"/>
        <v>3809611.039</v>
      </c>
      <c r="AE44" s="31">
        <v>1.0</v>
      </c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</row>
    <row r="45">
      <c r="A45" s="54">
        <v>2064.0</v>
      </c>
      <c r="B45" s="13">
        <v>4.4388395E7</v>
      </c>
      <c r="C45" s="13">
        <f t="shared" si="8"/>
        <v>-99628</v>
      </c>
      <c r="D45" s="57">
        <v>162878.0</v>
      </c>
      <c r="E45" s="13">
        <f t="shared" si="9"/>
        <v>44650901</v>
      </c>
      <c r="F45" s="58">
        <f t="shared" si="10"/>
        <v>63250</v>
      </c>
      <c r="G45" s="31">
        <f>B45*AVERAGE('Рынок труда'!$S$3:$S$32)</f>
        <v>36811547.42</v>
      </c>
      <c r="H45" s="31">
        <f>(1-'Рынок труда'!M76)*G45</f>
        <v>36811547.42</v>
      </c>
      <c r="I45" s="31"/>
      <c r="J45" s="31"/>
      <c r="K45" s="31"/>
      <c r="L45" s="31"/>
      <c r="M45" s="31">
        <f t="shared" si="11"/>
        <v>0.8328440042</v>
      </c>
      <c r="N45" s="31">
        <f t="shared" si="13"/>
        <v>0.03178445936</v>
      </c>
      <c r="O45" s="31">
        <f t="shared" si="1"/>
        <v>0.8063725078</v>
      </c>
      <c r="P45" s="31">
        <f t="shared" si="2"/>
        <v>36968608.63</v>
      </c>
      <c r="Q45" s="31">
        <f t="shared" si="3"/>
        <v>35793581.39</v>
      </c>
      <c r="R45" s="31">
        <f t="shared" si="4"/>
        <v>1175027.239</v>
      </c>
      <c r="S45" s="31">
        <f t="shared" si="5"/>
        <v>0.03178445936</v>
      </c>
      <c r="W45" s="31"/>
      <c r="X45" s="31"/>
      <c r="Y45" s="31"/>
      <c r="Z45" s="31"/>
      <c r="AA45" s="31"/>
      <c r="AB45" s="31"/>
      <c r="AC45" s="31"/>
      <c r="AD45" s="31">
        <f t="shared" si="12"/>
        <v>3890873.266</v>
      </c>
      <c r="AE45" s="31">
        <v>1.0</v>
      </c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</row>
    <row r="46">
      <c r="A46" s="54">
        <v>2065.0</v>
      </c>
      <c r="B46" s="13">
        <v>4.4301297E7</v>
      </c>
      <c r="C46" s="13">
        <f t="shared" si="8"/>
        <v>-87098</v>
      </c>
      <c r="D46" s="57">
        <v>161965.0</v>
      </c>
      <c r="E46" s="13">
        <f t="shared" si="9"/>
        <v>44550360</v>
      </c>
      <c r="F46" s="58">
        <f t="shared" si="10"/>
        <v>74867</v>
      </c>
      <c r="G46" s="31">
        <f>B46*AVERAGE('Рынок труда'!$S$3:$S$32)</f>
        <v>36739316.56</v>
      </c>
      <c r="H46" s="31">
        <f>(1-'Рынок труда'!M77)*G46</f>
        <v>36739316.56</v>
      </c>
      <c r="I46" s="31"/>
      <c r="J46" s="31"/>
      <c r="K46" s="31"/>
      <c r="L46" s="31"/>
      <c r="M46" s="31">
        <f t="shared" si="11"/>
        <v>0.832843984</v>
      </c>
      <c r="N46" s="31">
        <f t="shared" si="13"/>
        <v>0.03253892847</v>
      </c>
      <c r="O46" s="31">
        <f t="shared" si="1"/>
        <v>0.8057441331</v>
      </c>
      <c r="P46" s="31">
        <f t="shared" si="2"/>
        <v>36896068.69</v>
      </c>
      <c r="Q46" s="31">
        <f t="shared" si="3"/>
        <v>35695510.15</v>
      </c>
      <c r="R46" s="31">
        <f t="shared" si="4"/>
        <v>1200558.54</v>
      </c>
      <c r="S46" s="31">
        <f t="shared" si="5"/>
        <v>0.03253892847</v>
      </c>
      <c r="W46" s="31"/>
      <c r="X46" s="31"/>
      <c r="Y46" s="31"/>
      <c r="Z46" s="31"/>
      <c r="AA46" s="31"/>
      <c r="AB46" s="31"/>
      <c r="AC46" s="31"/>
      <c r="AD46" s="31">
        <f t="shared" si="12"/>
        <v>3973868.886</v>
      </c>
      <c r="AE46" s="31">
        <v>1.0</v>
      </c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</row>
    <row r="47">
      <c r="A47" s="54">
        <v>2066.0</v>
      </c>
      <c r="B47" s="13">
        <v>4.4220949E7</v>
      </c>
      <c r="C47" s="13">
        <f t="shared" si="8"/>
        <v>-80348</v>
      </c>
      <c r="D47" s="57">
        <v>158712.0</v>
      </c>
      <c r="E47" s="13">
        <f t="shared" si="9"/>
        <v>44460009</v>
      </c>
      <c r="F47" s="58">
        <f t="shared" si="10"/>
        <v>78364</v>
      </c>
      <c r="G47" s="31">
        <f>B47*AVERAGE('Рынок труда'!$S$3:$S$32)</f>
        <v>36672683.51</v>
      </c>
      <c r="H47" s="31">
        <f>(1-'Рынок труда'!M78)*G47</f>
        <v>36672683.51</v>
      </c>
      <c r="I47" s="31"/>
      <c r="J47" s="31"/>
      <c r="K47" s="31"/>
      <c r="L47" s="31"/>
      <c r="M47" s="31">
        <f t="shared" si="11"/>
        <v>0.8328439688</v>
      </c>
      <c r="N47" s="31">
        <f t="shared" si="13"/>
        <v>0.03178412156</v>
      </c>
      <c r="O47" s="31">
        <f t="shared" si="1"/>
        <v>0.8063727548</v>
      </c>
      <c r="P47" s="31">
        <f t="shared" si="2"/>
        <v>36829150.67</v>
      </c>
      <c r="Q47" s="31">
        <f t="shared" si="3"/>
        <v>35658568.47</v>
      </c>
      <c r="R47" s="31">
        <f t="shared" si="4"/>
        <v>1170582.202</v>
      </c>
      <c r="S47" s="31">
        <f t="shared" si="5"/>
        <v>0.03178412156</v>
      </c>
      <c r="W47" s="31"/>
      <c r="X47" s="31"/>
      <c r="Y47" s="31"/>
      <c r="Z47" s="31"/>
      <c r="AA47" s="31"/>
      <c r="AB47" s="31"/>
      <c r="AC47" s="31"/>
      <c r="AD47" s="31">
        <f t="shared" si="12"/>
        <v>4058634.872</v>
      </c>
      <c r="AE47" s="31">
        <v>1.0</v>
      </c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</row>
    <row r="48">
      <c r="A48" s="54">
        <v>2067.0</v>
      </c>
      <c r="B48" s="13">
        <v>4.4179163E7</v>
      </c>
      <c r="C48" s="13">
        <f t="shared" si="8"/>
        <v>-41786</v>
      </c>
      <c r="D48" s="57">
        <v>156918.0</v>
      </c>
      <c r="E48" s="13">
        <f t="shared" si="9"/>
        <v>44377867</v>
      </c>
      <c r="F48" s="58">
        <f t="shared" si="10"/>
        <v>115132</v>
      </c>
      <c r="G48" s="31">
        <f>B48*AVERAGE('Рынок труда'!$S$3:$S$32)</f>
        <v>36638030.14</v>
      </c>
      <c r="H48" s="31">
        <f>(1-'Рынок труда'!M79)*G48</f>
        <v>36638030.14</v>
      </c>
      <c r="I48" s="31"/>
      <c r="J48" s="31"/>
      <c r="K48" s="31"/>
      <c r="L48" s="31"/>
      <c r="M48" s="31">
        <f t="shared" si="11"/>
        <v>0.8328439574</v>
      </c>
      <c r="N48" s="31">
        <f t="shared" si="13"/>
        <v>0.03231224993</v>
      </c>
      <c r="O48" s="31">
        <f t="shared" si="1"/>
        <v>0.8059328953</v>
      </c>
      <c r="P48" s="31">
        <f t="shared" si="2"/>
        <v>36794348.95</v>
      </c>
      <c r="Q48" s="31">
        <f t="shared" si="3"/>
        <v>35605440.75</v>
      </c>
      <c r="R48" s="31">
        <f t="shared" si="4"/>
        <v>1188908.199</v>
      </c>
      <c r="S48" s="31">
        <f t="shared" si="5"/>
        <v>0.03231224993</v>
      </c>
      <c r="W48" s="31"/>
      <c r="X48" s="31"/>
      <c r="Y48" s="31"/>
      <c r="Z48" s="31"/>
      <c r="AA48" s="31"/>
      <c r="AB48" s="31"/>
      <c r="AC48" s="31"/>
      <c r="AD48" s="31">
        <f t="shared" si="12"/>
        <v>4145208.989</v>
      </c>
      <c r="AE48" s="31">
        <v>1.0</v>
      </c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</row>
    <row r="49">
      <c r="A49" s="54">
        <v>2068.0</v>
      </c>
      <c r="B49" s="13">
        <v>4.415705E7</v>
      </c>
      <c r="C49" s="13">
        <f t="shared" si="8"/>
        <v>-22113</v>
      </c>
      <c r="D49" s="57">
        <v>155717.0</v>
      </c>
      <c r="E49" s="13">
        <f t="shared" si="9"/>
        <v>44334880</v>
      </c>
      <c r="F49" s="58">
        <f t="shared" si="10"/>
        <v>133604</v>
      </c>
      <c r="G49" s="31">
        <f>B49*AVERAGE('Рынок труда'!$S$3:$S$32)</f>
        <v>36619691.7</v>
      </c>
      <c r="H49" s="31">
        <f>(1-'Рынок труда'!M80)*G49</f>
        <v>36619691.7</v>
      </c>
      <c r="I49" s="31"/>
      <c r="J49" s="31"/>
      <c r="K49" s="31"/>
      <c r="L49" s="31"/>
      <c r="M49" s="31">
        <f t="shared" si="11"/>
        <v>0.8328439488</v>
      </c>
      <c r="N49" s="31">
        <f t="shared" si="13"/>
        <v>0.03178388509</v>
      </c>
      <c r="O49" s="31">
        <f t="shared" si="1"/>
        <v>0.8063729325</v>
      </c>
      <c r="P49" s="31">
        <f t="shared" si="2"/>
        <v>36775931.89</v>
      </c>
      <c r="Q49" s="31">
        <f t="shared" si="3"/>
        <v>35607049.9</v>
      </c>
      <c r="R49" s="31">
        <f t="shared" si="4"/>
        <v>1168881.993</v>
      </c>
      <c r="S49" s="31">
        <f t="shared" si="5"/>
        <v>0.03178388509</v>
      </c>
      <c r="W49" s="31"/>
      <c r="X49" s="31"/>
      <c r="Y49" s="31"/>
      <c r="Z49" s="31"/>
      <c r="AA49" s="31"/>
      <c r="AB49" s="31"/>
      <c r="AC49" s="31"/>
      <c r="AD49" s="31">
        <f t="shared" si="12"/>
        <v>4233629.804</v>
      </c>
      <c r="AE49" s="31">
        <v>1.0</v>
      </c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</row>
    <row r="50">
      <c r="A50" s="54">
        <v>2069.0</v>
      </c>
      <c r="B50" s="13">
        <v>4.4147536E7</v>
      </c>
      <c r="C50" s="13">
        <f t="shared" si="8"/>
        <v>-9514</v>
      </c>
      <c r="D50" s="57">
        <v>155288.0</v>
      </c>
      <c r="E50" s="13">
        <f t="shared" si="9"/>
        <v>44312338</v>
      </c>
      <c r="F50" s="58">
        <f t="shared" si="10"/>
        <v>145774</v>
      </c>
      <c r="G50" s="31">
        <f>B50*AVERAGE('Рынок труда'!$S$3:$S$32)</f>
        <v>36611801.69</v>
      </c>
      <c r="H50" s="31">
        <f>(1-'Рынок труда'!M81)*G50</f>
        <v>36611801.69</v>
      </c>
      <c r="I50" s="31"/>
      <c r="J50" s="31"/>
      <c r="K50" s="31"/>
      <c r="L50" s="31"/>
      <c r="M50" s="31">
        <f t="shared" si="11"/>
        <v>0.8328439424</v>
      </c>
      <c r="N50" s="31">
        <f t="shared" si="13"/>
        <v>0.03215357495</v>
      </c>
      <c r="O50" s="31">
        <f t="shared" si="1"/>
        <v>0.8060650323</v>
      </c>
      <c r="P50" s="31">
        <f t="shared" si="2"/>
        <v>36768007.93</v>
      </c>
      <c r="Q50" s="31">
        <f t="shared" si="3"/>
        <v>35585785.03</v>
      </c>
      <c r="R50" s="31">
        <f t="shared" si="4"/>
        <v>1182222.899</v>
      </c>
      <c r="S50" s="31">
        <f t="shared" si="5"/>
        <v>0.03215357495</v>
      </c>
      <c r="W50" s="31"/>
      <c r="X50" s="31"/>
      <c r="Y50" s="31"/>
      <c r="Z50" s="31"/>
      <c r="AA50" s="31"/>
      <c r="AB50" s="31"/>
      <c r="AC50" s="31"/>
      <c r="AD50" s="31">
        <f t="shared" si="12"/>
        <v>4323936.711</v>
      </c>
      <c r="AE50" s="31">
        <v>1.0</v>
      </c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</row>
    <row r="51">
      <c r="A51" s="54">
        <v>2070.0</v>
      </c>
      <c r="B51" s="13">
        <v>4.4140511E7</v>
      </c>
      <c r="C51" s="13">
        <f t="shared" si="8"/>
        <v>-7025</v>
      </c>
      <c r="D51" s="57">
        <v>154795.0</v>
      </c>
      <c r="E51" s="13">
        <f t="shared" si="9"/>
        <v>44302331</v>
      </c>
      <c r="F51" s="58">
        <f t="shared" si="10"/>
        <v>147770</v>
      </c>
      <c r="G51" s="31">
        <f>B51*AVERAGE('Рынок труда'!$S$3:$S$32)</f>
        <v>36605975.82</v>
      </c>
      <c r="H51" s="31">
        <f>(1-'Рынок труда'!M82)*G51</f>
        <v>36605975.82</v>
      </c>
      <c r="I51" s="31"/>
      <c r="J51" s="31"/>
      <c r="K51" s="31"/>
      <c r="L51" s="31"/>
      <c r="M51" s="31">
        <f t="shared" si="11"/>
        <v>0.8328439376</v>
      </c>
      <c r="N51" s="31">
        <f t="shared" si="13"/>
        <v>0.03178371956</v>
      </c>
      <c r="O51" s="31">
        <f t="shared" si="1"/>
        <v>0.8063730595</v>
      </c>
      <c r="P51" s="31">
        <f t="shared" si="2"/>
        <v>36762156.99</v>
      </c>
      <c r="Q51" s="31">
        <f t="shared" si="3"/>
        <v>35593718.9</v>
      </c>
      <c r="R51" s="31">
        <f t="shared" si="4"/>
        <v>1168438.088</v>
      </c>
      <c r="S51" s="31">
        <f t="shared" si="5"/>
        <v>0.03178371956</v>
      </c>
      <c r="W51" s="31"/>
      <c r="X51" s="31"/>
      <c r="Y51" s="31"/>
      <c r="Z51" s="31"/>
      <c r="AA51" s="31"/>
      <c r="AB51" s="31"/>
      <c r="AC51" s="31"/>
      <c r="AD51" s="31">
        <f t="shared" si="12"/>
        <v>4416169.94</v>
      </c>
      <c r="AE51" s="31">
        <v>1.0</v>
      </c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</row>
    <row r="52">
      <c r="A52" s="54">
        <v>2071.0</v>
      </c>
      <c r="B52" s="13">
        <v>4.4141736E7</v>
      </c>
      <c r="C52" s="13">
        <f t="shared" si="8"/>
        <v>1225</v>
      </c>
      <c r="D52" s="57">
        <v>154019.0</v>
      </c>
      <c r="E52" s="13">
        <f t="shared" si="9"/>
        <v>44294530</v>
      </c>
      <c r="F52" s="58">
        <f t="shared" si="10"/>
        <v>155244</v>
      </c>
      <c r="G52" s="31">
        <f>B52*AVERAGE('Рынок труда'!$S$3:$S$32)</f>
        <v>36606991.72</v>
      </c>
      <c r="H52" s="31">
        <f>(1-'Рынок труда'!M83)*G52</f>
        <v>36606991.72</v>
      </c>
      <c r="I52" s="31"/>
      <c r="J52" s="31"/>
      <c r="K52" s="31"/>
      <c r="L52" s="31"/>
      <c r="M52" s="31">
        <f t="shared" si="11"/>
        <v>0.832843934</v>
      </c>
      <c r="N52" s="31">
        <f t="shared" si="13"/>
        <v>0.03204250246</v>
      </c>
      <c r="O52" s="31">
        <f t="shared" si="1"/>
        <v>0.8061575302</v>
      </c>
      <c r="P52" s="31">
        <f t="shared" si="2"/>
        <v>36763177.07</v>
      </c>
      <c r="Q52" s="31">
        <f t="shared" si="3"/>
        <v>35585192.87</v>
      </c>
      <c r="R52" s="31">
        <f t="shared" si="4"/>
        <v>1177984.192</v>
      </c>
      <c r="S52" s="31">
        <f t="shared" si="5"/>
        <v>0.03204250246</v>
      </c>
      <c r="W52" s="31"/>
      <c r="X52" s="31"/>
      <c r="Y52" s="31"/>
      <c r="Z52" s="31"/>
      <c r="AA52" s="31"/>
      <c r="AB52" s="31"/>
      <c r="AC52" s="31"/>
      <c r="AD52" s="31">
        <f t="shared" si="12"/>
        <v>4510370.582</v>
      </c>
      <c r="AE52" s="31">
        <v>1.0</v>
      </c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</row>
    <row r="53">
      <c r="A53" s="54">
        <v>2072.0</v>
      </c>
      <c r="B53" s="13">
        <v>4.4154741E7</v>
      </c>
      <c r="C53" s="13">
        <f t="shared" si="8"/>
        <v>13005</v>
      </c>
      <c r="D53" s="57">
        <v>154008.0</v>
      </c>
      <c r="E53" s="13">
        <f t="shared" si="9"/>
        <v>44295744</v>
      </c>
      <c r="F53" s="58">
        <f t="shared" si="10"/>
        <v>167013</v>
      </c>
      <c r="G53" s="31">
        <f>B53*AVERAGE('Рынок труда'!$S$3:$S$32)</f>
        <v>36617776.84</v>
      </c>
      <c r="H53" s="31">
        <f>(1-'Рынок труда'!M84)*G53</f>
        <v>36617776.84</v>
      </c>
      <c r="I53" s="31"/>
      <c r="J53" s="31"/>
      <c r="K53" s="31"/>
      <c r="L53" s="31"/>
      <c r="M53" s="31">
        <f t="shared" si="11"/>
        <v>0.8328439313</v>
      </c>
      <c r="N53" s="31">
        <f t="shared" si="13"/>
        <v>0.03178360369</v>
      </c>
      <c r="O53" s="31">
        <f t="shared" si="1"/>
        <v>0.8063731499</v>
      </c>
      <c r="P53" s="31">
        <f t="shared" si="2"/>
        <v>36774008.08</v>
      </c>
      <c r="Q53" s="31">
        <f t="shared" si="3"/>
        <v>35605197.58</v>
      </c>
      <c r="R53" s="31">
        <f t="shared" si="4"/>
        <v>1168810.499</v>
      </c>
      <c r="S53" s="31">
        <f t="shared" si="5"/>
        <v>0.03178360369</v>
      </c>
      <c r="W53" s="31"/>
      <c r="X53" s="31"/>
      <c r="Y53" s="31"/>
      <c r="Z53" s="31"/>
      <c r="AA53" s="31"/>
      <c r="AB53" s="31"/>
      <c r="AC53" s="31"/>
      <c r="AD53" s="31">
        <f t="shared" si="12"/>
        <v>4606580.604</v>
      </c>
      <c r="AE53" s="31">
        <v>1.0</v>
      </c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</row>
    <row r="54">
      <c r="A54" s="54">
        <v>2073.0</v>
      </c>
      <c r="B54" s="13">
        <v>4.4155613E7</v>
      </c>
      <c r="C54" s="13">
        <f t="shared" si="8"/>
        <v>872</v>
      </c>
      <c r="D54" s="57">
        <v>154055.0</v>
      </c>
      <c r="E54" s="13">
        <f t="shared" si="9"/>
        <v>44308796</v>
      </c>
      <c r="F54" s="58">
        <f t="shared" si="10"/>
        <v>154927</v>
      </c>
      <c r="G54" s="31">
        <f>B54*AVERAGE('Рынок труда'!$S$3:$S$32)</f>
        <v>36618499.99</v>
      </c>
      <c r="H54" s="31">
        <f>(1-'Рынок труда'!M85)*G54</f>
        <v>36618499.99</v>
      </c>
      <c r="I54" s="31"/>
      <c r="J54" s="31"/>
      <c r="K54" s="31"/>
      <c r="L54" s="31"/>
      <c r="M54" s="31">
        <f t="shared" si="11"/>
        <v>0.8328439293</v>
      </c>
      <c r="N54" s="31">
        <f t="shared" si="13"/>
        <v>0.03196475172</v>
      </c>
      <c r="O54" s="31">
        <f t="shared" si="1"/>
        <v>0.8062222799</v>
      </c>
      <c r="P54" s="31">
        <f t="shared" si="2"/>
        <v>36774734.23</v>
      </c>
      <c r="Q54" s="31">
        <f t="shared" si="3"/>
        <v>35599238.98</v>
      </c>
      <c r="R54" s="31">
        <f t="shared" si="4"/>
        <v>1175495.249</v>
      </c>
      <c r="S54" s="31">
        <f t="shared" si="5"/>
        <v>0.03196475172</v>
      </c>
      <c r="W54" s="31"/>
      <c r="X54" s="31"/>
      <c r="Y54" s="31"/>
      <c r="Z54" s="31"/>
      <c r="AA54" s="31"/>
      <c r="AB54" s="31"/>
      <c r="AC54" s="31"/>
      <c r="AD54" s="31">
        <f t="shared" si="12"/>
        <v>4704842.867</v>
      </c>
      <c r="AE54" s="31">
        <v>1.0</v>
      </c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</row>
    <row r="55">
      <c r="A55" s="54">
        <v>2074.0</v>
      </c>
      <c r="B55" s="13">
        <v>4.4150003E7</v>
      </c>
      <c r="C55" s="13">
        <f t="shared" si="8"/>
        <v>-5610</v>
      </c>
      <c r="D55" s="57">
        <v>152711.0</v>
      </c>
      <c r="E55" s="13">
        <f t="shared" si="9"/>
        <v>44308324</v>
      </c>
      <c r="F55" s="58">
        <f t="shared" si="10"/>
        <v>147101</v>
      </c>
      <c r="G55" s="31">
        <f>B55*AVERAGE('Рынок труда'!$S$3:$S$32)</f>
        <v>36613847.59</v>
      </c>
      <c r="H55" s="31">
        <f>(1-'Рынок труда'!M86)*G55</f>
        <v>36613847.59</v>
      </c>
      <c r="I55" s="31"/>
      <c r="J55" s="31"/>
      <c r="K55" s="31"/>
      <c r="L55" s="31"/>
      <c r="M55" s="31">
        <f t="shared" si="11"/>
        <v>0.8328439278</v>
      </c>
      <c r="N55" s="31">
        <f t="shared" si="13"/>
        <v>0.03178352259</v>
      </c>
      <c r="O55" s="31">
        <f t="shared" si="1"/>
        <v>0.806373214</v>
      </c>
      <c r="P55" s="31">
        <f t="shared" si="2"/>
        <v>36770061.91</v>
      </c>
      <c r="Q55" s="31">
        <f t="shared" si="3"/>
        <v>35601379.82</v>
      </c>
      <c r="R55" s="31">
        <f t="shared" si="4"/>
        <v>1168682.093</v>
      </c>
      <c r="S55" s="31">
        <f t="shared" si="5"/>
        <v>0.03178352259</v>
      </c>
      <c r="W55" s="31"/>
      <c r="X55" s="31"/>
      <c r="Y55" s="31"/>
      <c r="Z55" s="31"/>
      <c r="AA55" s="31"/>
      <c r="AB55" s="31"/>
      <c r="AC55" s="31"/>
      <c r="AD55" s="31">
        <f t="shared" si="12"/>
        <v>4805201.147</v>
      </c>
      <c r="AE55" s="31">
        <v>1.0</v>
      </c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</row>
    <row r="56">
      <c r="A56" s="54">
        <v>2075.0</v>
      </c>
      <c r="B56" s="13">
        <v>4.416136E7</v>
      </c>
      <c r="C56" s="13">
        <f t="shared" si="8"/>
        <v>11357</v>
      </c>
      <c r="D56" s="57">
        <v>153372.0</v>
      </c>
      <c r="E56" s="13">
        <f t="shared" si="9"/>
        <v>44303375</v>
      </c>
      <c r="F56" s="58">
        <f t="shared" si="10"/>
        <v>164729</v>
      </c>
      <c r="G56" s="31">
        <f>B56*AVERAGE('Рынок труда'!$S$3:$S$32)</f>
        <v>36623266.01</v>
      </c>
      <c r="H56" s="31">
        <f>(1-'Рынок труда'!M87)*G56</f>
        <v>36623266.01</v>
      </c>
      <c r="I56" s="31"/>
      <c r="J56" s="31"/>
      <c r="K56" s="31"/>
      <c r="L56" s="31"/>
      <c r="M56" s="31">
        <f t="shared" si="11"/>
        <v>0.8328439266</v>
      </c>
      <c r="N56" s="31">
        <f t="shared" si="13"/>
        <v>0.03191032621</v>
      </c>
      <c r="O56" s="31">
        <f t="shared" si="1"/>
        <v>0.8062676053</v>
      </c>
      <c r="P56" s="31">
        <f t="shared" si="2"/>
        <v>36779520.47</v>
      </c>
      <c r="Q56" s="31">
        <f t="shared" si="3"/>
        <v>35605873.97</v>
      </c>
      <c r="R56" s="31">
        <f t="shared" si="4"/>
        <v>1173646.496</v>
      </c>
      <c r="S56" s="31">
        <f t="shared" si="5"/>
        <v>0.03191032621</v>
      </c>
      <c r="W56" s="31"/>
      <c r="X56" s="31"/>
      <c r="Y56" s="31"/>
      <c r="Z56" s="31"/>
      <c r="AA56" s="31"/>
      <c r="AB56" s="31"/>
      <c r="AC56" s="31"/>
      <c r="AD56" s="31">
        <f t="shared" si="12"/>
        <v>4907700.154</v>
      </c>
      <c r="AE56" s="31">
        <v>1.0</v>
      </c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</row>
    <row r="57">
      <c r="A57" s="54">
        <v>2076.0</v>
      </c>
      <c r="B57" s="13">
        <v>4.4156421E7</v>
      </c>
      <c r="C57" s="13">
        <f t="shared" si="8"/>
        <v>-4939</v>
      </c>
      <c r="D57" s="57">
        <v>152186.0</v>
      </c>
      <c r="E57" s="13">
        <f t="shared" si="9"/>
        <v>44313546</v>
      </c>
      <c r="F57" s="58">
        <f t="shared" si="10"/>
        <v>147247</v>
      </c>
      <c r="G57" s="31">
        <f>B57*AVERAGE('Рынок труда'!$S$3:$S$32)</f>
        <v>36619170.07</v>
      </c>
      <c r="H57" s="31">
        <f>(1-'Рынок труда'!M88)*G57</f>
        <v>36619170.07</v>
      </c>
      <c r="I57" s="31"/>
      <c r="J57" s="31"/>
      <c r="K57" s="31"/>
      <c r="L57" s="31"/>
      <c r="M57" s="31">
        <f t="shared" si="11"/>
        <v>0.8328439258</v>
      </c>
      <c r="N57" s="31">
        <f t="shared" si="13"/>
        <v>0.03178346581</v>
      </c>
      <c r="O57" s="31">
        <f t="shared" si="1"/>
        <v>0.8063732593</v>
      </c>
      <c r="P57" s="31">
        <f t="shared" si="2"/>
        <v>36775407.01</v>
      </c>
      <c r="Q57" s="31">
        <f t="shared" si="3"/>
        <v>35606557.12</v>
      </c>
      <c r="R57" s="31">
        <f t="shared" si="4"/>
        <v>1168849.891</v>
      </c>
      <c r="S57" s="31">
        <f t="shared" si="5"/>
        <v>0.03178346581</v>
      </c>
      <c r="W57" s="31"/>
      <c r="X57" s="31"/>
      <c r="Y57" s="31"/>
      <c r="Z57" s="31"/>
      <c r="AA57" s="31"/>
      <c r="AB57" s="31"/>
      <c r="AC57" s="31"/>
      <c r="AD57" s="31">
        <f t="shared" si="12"/>
        <v>5012385.551</v>
      </c>
      <c r="AE57" s="31">
        <v>1.0</v>
      </c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</row>
    <row r="58">
      <c r="A58" s="54">
        <v>2077.0</v>
      </c>
      <c r="B58" s="13">
        <v>4.4162546E7</v>
      </c>
      <c r="C58" s="13">
        <f t="shared" si="8"/>
        <v>6125</v>
      </c>
      <c r="D58" s="57">
        <v>153295.0</v>
      </c>
      <c r="E58" s="13">
        <f t="shared" si="9"/>
        <v>44309716</v>
      </c>
      <c r="F58" s="58">
        <f t="shared" si="10"/>
        <v>159420</v>
      </c>
      <c r="G58" s="31">
        <f>B58*AVERAGE('Рынок труда'!$S$3:$S$32)</f>
        <v>36624249.57</v>
      </c>
      <c r="H58" s="31">
        <f>(1-'Рынок труда'!M89)*G58</f>
        <v>36624249.57</v>
      </c>
      <c r="I58" s="31"/>
      <c r="J58" s="31"/>
      <c r="K58" s="31"/>
      <c r="L58" s="31"/>
      <c r="M58" s="31">
        <f t="shared" si="11"/>
        <v>0.8328439251</v>
      </c>
      <c r="N58" s="31">
        <f t="shared" si="13"/>
        <v>0.03187222835</v>
      </c>
      <c r="O58" s="31">
        <f t="shared" si="1"/>
        <v>0.8062993334</v>
      </c>
      <c r="P58" s="31">
        <f t="shared" si="2"/>
        <v>36780508.15</v>
      </c>
      <c r="Q58" s="31">
        <f t="shared" si="3"/>
        <v>35608231.4</v>
      </c>
      <c r="R58" s="31">
        <f t="shared" si="4"/>
        <v>1172276.755</v>
      </c>
      <c r="S58" s="31">
        <f t="shared" si="5"/>
        <v>0.03187222835</v>
      </c>
      <c r="W58" s="31"/>
      <c r="X58" s="31"/>
      <c r="Y58" s="31"/>
      <c r="Z58" s="31"/>
      <c r="AA58" s="31"/>
      <c r="AB58" s="31"/>
      <c r="AC58" s="31"/>
      <c r="AD58" s="31">
        <f t="shared" si="12"/>
        <v>5119303.977</v>
      </c>
      <c r="AE58" s="31">
        <v>1.0</v>
      </c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</row>
    <row r="59">
      <c r="A59" s="54">
        <v>2078.0</v>
      </c>
      <c r="B59" s="13">
        <v>4.4148756E7</v>
      </c>
      <c r="C59" s="13">
        <f t="shared" si="8"/>
        <v>-13790</v>
      </c>
      <c r="D59" s="57">
        <v>153562.0</v>
      </c>
      <c r="E59" s="13">
        <f t="shared" si="9"/>
        <v>44316108</v>
      </c>
      <c r="F59" s="58">
        <f t="shared" si="10"/>
        <v>139772</v>
      </c>
      <c r="G59" s="31">
        <f>B59*AVERAGE('Рынок труда'!$S$3:$S$32)</f>
        <v>36612813.44</v>
      </c>
      <c r="H59" s="31">
        <f>(1-'Рынок труда'!M90)*G59</f>
        <v>36612813.44</v>
      </c>
      <c r="I59" s="31"/>
      <c r="J59" s="31"/>
      <c r="K59" s="31"/>
      <c r="L59" s="31"/>
      <c r="M59" s="31">
        <f t="shared" si="11"/>
        <v>0.8328439247</v>
      </c>
      <c r="N59" s="31">
        <f t="shared" si="13"/>
        <v>0.03178342607</v>
      </c>
      <c r="O59" s="31">
        <f t="shared" si="1"/>
        <v>0.8063732914</v>
      </c>
      <c r="P59" s="31">
        <f t="shared" si="2"/>
        <v>36769023.22</v>
      </c>
      <c r="Q59" s="31">
        <f t="shared" si="3"/>
        <v>35600377.68</v>
      </c>
      <c r="R59" s="31">
        <f t="shared" si="4"/>
        <v>1168645.531</v>
      </c>
      <c r="S59" s="31">
        <f t="shared" si="5"/>
        <v>0.03178342607</v>
      </c>
      <c r="W59" s="31"/>
      <c r="X59" s="31"/>
      <c r="Y59" s="31"/>
      <c r="Z59" s="31"/>
      <c r="AA59" s="31"/>
      <c r="AB59" s="31"/>
      <c r="AC59" s="31"/>
      <c r="AD59" s="31">
        <f t="shared" si="12"/>
        <v>5228503.063</v>
      </c>
      <c r="AE59" s="31">
        <v>1.0</v>
      </c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</row>
    <row r="60">
      <c r="A60" s="54">
        <v>2079.0</v>
      </c>
      <c r="B60" s="13">
        <v>4.4125877E7</v>
      </c>
      <c r="C60" s="13">
        <f t="shared" si="8"/>
        <v>-22879</v>
      </c>
      <c r="D60" s="57">
        <v>155501.0</v>
      </c>
      <c r="E60" s="13">
        <f t="shared" si="9"/>
        <v>44304257</v>
      </c>
      <c r="F60" s="58">
        <f t="shared" si="10"/>
        <v>132622</v>
      </c>
      <c r="G60" s="31">
        <f>B60*AVERAGE('Рынок труда'!$S$3:$S$32)</f>
        <v>36593839.76</v>
      </c>
      <c r="H60" s="31">
        <f>(1-'Рынок труда'!M91)*G60</f>
        <v>36593839.76</v>
      </c>
      <c r="I60" s="31"/>
      <c r="J60" s="31"/>
      <c r="K60" s="31"/>
      <c r="L60" s="31"/>
      <c r="M60" s="31">
        <f t="shared" si="11"/>
        <v>0.8328439243</v>
      </c>
      <c r="N60" s="31">
        <f t="shared" si="13"/>
        <v>0.03184555984</v>
      </c>
      <c r="O60" s="31">
        <f t="shared" si="1"/>
        <v>0.8063215433</v>
      </c>
      <c r="P60" s="31">
        <f t="shared" si="2"/>
        <v>36749968.56</v>
      </c>
      <c r="Q60" s="31">
        <f t="shared" si="3"/>
        <v>35579645.24</v>
      </c>
      <c r="R60" s="31">
        <f t="shared" si="4"/>
        <v>1170323.323</v>
      </c>
      <c r="S60" s="31">
        <f t="shared" si="5"/>
        <v>0.03184555984</v>
      </c>
      <c r="W60" s="31"/>
      <c r="X60" s="31"/>
      <c r="Y60" s="31"/>
      <c r="Z60" s="31"/>
      <c r="AA60" s="31"/>
      <c r="AB60" s="31"/>
      <c r="AC60" s="31"/>
      <c r="AD60" s="31">
        <f t="shared" si="12"/>
        <v>5340031.458</v>
      </c>
      <c r="AE60" s="31">
        <v>1.0</v>
      </c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</row>
    <row r="61">
      <c r="A61" s="54">
        <v>2080.0</v>
      </c>
      <c r="B61" s="13">
        <v>4.4071205E7</v>
      </c>
      <c r="C61" s="13">
        <f t="shared" si="8"/>
        <v>-54672</v>
      </c>
      <c r="D61" s="57">
        <v>156194.0</v>
      </c>
      <c r="E61" s="13">
        <f t="shared" si="9"/>
        <v>44282071</v>
      </c>
      <c r="F61" s="58">
        <f t="shared" si="10"/>
        <v>101522</v>
      </c>
      <c r="G61" s="31">
        <f>B61*AVERAGE('Рынок труда'!$S$3:$S$32)</f>
        <v>36548499.96</v>
      </c>
      <c r="H61" s="31">
        <f>(1-'Рынок труда'!M92)*G61</f>
        <v>36548499.96</v>
      </c>
      <c r="I61" s="31"/>
      <c r="J61" s="31"/>
      <c r="K61" s="31"/>
      <c r="L61" s="31"/>
      <c r="M61" s="31">
        <f t="shared" si="11"/>
        <v>0.832843924</v>
      </c>
      <c r="N61" s="31">
        <f t="shared" si="13"/>
        <v>0.03178339825</v>
      </c>
      <c r="O61" s="31">
        <f t="shared" si="1"/>
        <v>0.8063733139</v>
      </c>
      <c r="P61" s="31">
        <f t="shared" si="2"/>
        <v>36704435.31</v>
      </c>
      <c r="Q61" s="31">
        <f t="shared" si="3"/>
        <v>35537843.62</v>
      </c>
      <c r="R61" s="31">
        <f t="shared" si="4"/>
        <v>1166591.685</v>
      </c>
      <c r="S61" s="31">
        <f t="shared" si="5"/>
        <v>0.03178339825</v>
      </c>
      <c r="W61" s="31"/>
      <c r="X61" s="31"/>
      <c r="Y61" s="31"/>
      <c r="Z61" s="31"/>
      <c r="AA61" s="31"/>
      <c r="AB61" s="31"/>
      <c r="AC61" s="31"/>
      <c r="AD61" s="31">
        <f t="shared" si="12"/>
        <v>5453938.848</v>
      </c>
      <c r="AE61" s="31">
        <v>1.0</v>
      </c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</row>
    <row r="62">
      <c r="A62" s="54">
        <v>2081.0</v>
      </c>
      <c r="B62" s="13">
        <v>4.4000823E7</v>
      </c>
      <c r="C62" s="13">
        <f t="shared" si="8"/>
        <v>-70382</v>
      </c>
      <c r="D62" s="57">
        <v>157991.0</v>
      </c>
      <c r="E62" s="13">
        <f t="shared" si="9"/>
        <v>44229196</v>
      </c>
      <c r="F62" s="58">
        <f t="shared" si="10"/>
        <v>87609</v>
      </c>
      <c r="G62" s="31">
        <f>B62*AVERAGE('Рынок труда'!$S$3:$S$32)</f>
        <v>36490131.77</v>
      </c>
      <c r="H62" s="31">
        <f>(1-'Рынок труда'!M93)*G62</f>
        <v>36490131.77</v>
      </c>
      <c r="I62" s="31"/>
      <c r="J62" s="31"/>
      <c r="K62" s="31"/>
      <c r="L62" s="31"/>
      <c r="M62" s="31">
        <f t="shared" si="11"/>
        <v>0.8328439238</v>
      </c>
      <c r="N62" s="31">
        <f t="shared" si="13"/>
        <v>0.03182689189</v>
      </c>
      <c r="O62" s="31">
        <f t="shared" si="1"/>
        <v>0.8063370903</v>
      </c>
      <c r="P62" s="31">
        <f t="shared" si="2"/>
        <v>36645818.08</v>
      </c>
      <c r="Q62" s="31">
        <f t="shared" si="3"/>
        <v>35479495.59</v>
      </c>
      <c r="R62" s="31">
        <f t="shared" si="4"/>
        <v>1166322.49</v>
      </c>
      <c r="S62" s="31">
        <f t="shared" si="5"/>
        <v>0.03182689189</v>
      </c>
      <c r="W62" s="31"/>
      <c r="X62" s="31"/>
      <c r="Y62" s="31"/>
      <c r="Z62" s="31"/>
      <c r="AA62" s="31"/>
      <c r="AB62" s="31"/>
      <c r="AC62" s="31"/>
      <c r="AD62" s="31">
        <f t="shared" si="12"/>
        <v>5570275.98</v>
      </c>
      <c r="AE62" s="31">
        <v>1.0</v>
      </c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</row>
    <row r="63">
      <c r="A63" s="54">
        <v>2082.0</v>
      </c>
      <c r="B63" s="13">
        <v>4.3899515E7</v>
      </c>
      <c r="C63" s="13">
        <f t="shared" si="8"/>
        <v>-101308</v>
      </c>
      <c r="D63" s="57">
        <v>157534.0</v>
      </c>
      <c r="E63" s="13">
        <f t="shared" si="9"/>
        <v>44158357</v>
      </c>
      <c r="F63" s="58">
        <f t="shared" si="10"/>
        <v>56226</v>
      </c>
      <c r="G63" s="31">
        <f>B63*AVERAGE('Рынок труда'!$S$3:$S$32)</f>
        <v>36406116.47</v>
      </c>
      <c r="H63" s="31">
        <f>(1-'Рынок труда'!M94)*G63</f>
        <v>36406116.47</v>
      </c>
      <c r="I63" s="31"/>
      <c r="J63" s="31"/>
      <c r="K63" s="31"/>
      <c r="L63" s="31"/>
      <c r="M63" s="31">
        <f t="shared" si="11"/>
        <v>0.8328439237</v>
      </c>
      <c r="N63" s="31">
        <f t="shared" si="13"/>
        <v>0.03178337877</v>
      </c>
      <c r="O63" s="31">
        <f t="shared" si="1"/>
        <v>0.8063733298</v>
      </c>
      <c r="P63" s="31">
        <f t="shared" si="2"/>
        <v>36561444.32</v>
      </c>
      <c r="Q63" s="31">
        <f t="shared" si="3"/>
        <v>35399398.09</v>
      </c>
      <c r="R63" s="31">
        <f t="shared" si="4"/>
        <v>1162046.233</v>
      </c>
      <c r="S63" s="31">
        <f t="shared" si="5"/>
        <v>0.03178337877</v>
      </c>
      <c r="W63" s="31"/>
      <c r="X63" s="31"/>
      <c r="Y63" s="31"/>
      <c r="Z63" s="31"/>
      <c r="AA63" s="31"/>
      <c r="AB63" s="31"/>
      <c r="AC63" s="31"/>
      <c r="AD63" s="31">
        <f t="shared" si="12"/>
        <v>5689094.68</v>
      </c>
      <c r="AE63" s="31">
        <v>1.0</v>
      </c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</row>
    <row r="64">
      <c r="A64" s="54">
        <v>2083.0</v>
      </c>
      <c r="B64" s="13">
        <v>4.379655E7</v>
      </c>
      <c r="C64" s="13">
        <f t="shared" si="8"/>
        <v>-102965</v>
      </c>
      <c r="D64" s="57">
        <v>157089.0</v>
      </c>
      <c r="E64" s="13">
        <f t="shared" si="9"/>
        <v>44056604</v>
      </c>
      <c r="F64" s="58">
        <f t="shared" si="10"/>
        <v>54124</v>
      </c>
      <c r="G64" s="31">
        <f>B64*AVERAGE('Рынок труда'!$S$3:$S$32)</f>
        <v>36320727.01</v>
      </c>
      <c r="H64" s="31">
        <f>(1-'Рынок труда'!M95)*G64</f>
        <v>36320727.01</v>
      </c>
      <c r="I64" s="31"/>
      <c r="J64" s="31"/>
      <c r="K64" s="31"/>
      <c r="L64" s="31"/>
      <c r="M64" s="31">
        <f t="shared" si="11"/>
        <v>0.8328439236</v>
      </c>
      <c r="N64" s="31">
        <f t="shared" si="13"/>
        <v>0.03181382432</v>
      </c>
      <c r="O64" s="31">
        <f t="shared" si="1"/>
        <v>0.8063479733</v>
      </c>
      <c r="P64" s="31">
        <f t="shared" si="2"/>
        <v>36475690.54</v>
      </c>
      <c r="Q64" s="31">
        <f t="shared" si="3"/>
        <v>35315259.33</v>
      </c>
      <c r="R64" s="31">
        <f t="shared" si="4"/>
        <v>1160431.211</v>
      </c>
      <c r="S64" s="31">
        <f t="shared" si="5"/>
        <v>0.03181382432</v>
      </c>
      <c r="W64" s="31"/>
      <c r="X64" s="31"/>
      <c r="Y64" s="31"/>
      <c r="Z64" s="31"/>
      <c r="AA64" s="31"/>
      <c r="AB64" s="31"/>
      <c r="AC64" s="31"/>
      <c r="AD64" s="31">
        <f t="shared" si="12"/>
        <v>5810447.884</v>
      </c>
      <c r="AE64" s="31">
        <v>1.0</v>
      </c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</row>
    <row r="65">
      <c r="A65" s="54">
        <v>2084.0</v>
      </c>
      <c r="B65" s="13">
        <v>4.369118E7</v>
      </c>
      <c r="C65" s="13">
        <f t="shared" si="8"/>
        <v>-105370</v>
      </c>
      <c r="D65" s="57">
        <v>156079.0</v>
      </c>
      <c r="E65" s="13">
        <f t="shared" si="9"/>
        <v>43952629</v>
      </c>
      <c r="F65" s="58">
        <f t="shared" si="10"/>
        <v>50709</v>
      </c>
      <c r="G65" s="31">
        <f>B65*AVERAGE('Рынок труда'!$S$3:$S$32)</f>
        <v>36233343.07</v>
      </c>
      <c r="H65" s="31">
        <f>(1-'Рынок труда'!M96)*G65</f>
        <v>36233343.07</v>
      </c>
      <c r="I65" s="31"/>
      <c r="J65" s="31"/>
      <c r="K65" s="31"/>
      <c r="L65" s="31"/>
      <c r="M65" s="31">
        <f t="shared" si="11"/>
        <v>0.8328439235</v>
      </c>
      <c r="N65" s="31">
        <f t="shared" si="13"/>
        <v>0.03178336514</v>
      </c>
      <c r="O65" s="31">
        <f t="shared" si="1"/>
        <v>0.8063733409</v>
      </c>
      <c r="P65" s="31">
        <f t="shared" si="2"/>
        <v>36387933.77</v>
      </c>
      <c r="Q65" s="31">
        <f t="shared" si="3"/>
        <v>35231402.79</v>
      </c>
      <c r="R65" s="31">
        <f t="shared" si="4"/>
        <v>1156530.986</v>
      </c>
      <c r="S65" s="31">
        <f t="shared" si="5"/>
        <v>0.03178336514</v>
      </c>
      <c r="W65" s="31"/>
      <c r="X65" s="31"/>
      <c r="Y65" s="31"/>
      <c r="Z65" s="31"/>
      <c r="AA65" s="31"/>
      <c r="AB65" s="31"/>
      <c r="AC65" s="31"/>
      <c r="AD65" s="31">
        <f t="shared" si="12"/>
        <v>5934389.655</v>
      </c>
      <c r="AE65" s="31">
        <v>1.0</v>
      </c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</row>
    <row r="66">
      <c r="A66" s="54">
        <v>2085.0</v>
      </c>
      <c r="B66" s="13">
        <v>4.3590437E7</v>
      </c>
      <c r="C66" s="13">
        <f t="shared" si="8"/>
        <v>-100743</v>
      </c>
      <c r="D66" s="57">
        <v>155461.0</v>
      </c>
      <c r="E66" s="13">
        <f t="shared" si="9"/>
        <v>43846641</v>
      </c>
      <c r="F66" s="58">
        <f t="shared" si="10"/>
        <v>54718</v>
      </c>
      <c r="G66" s="31">
        <f>B66*AVERAGE('Рынок труда'!$S$3:$S$32)</f>
        <v>36149796.33</v>
      </c>
      <c r="H66" s="31">
        <f>(1-'Рынок труда'!M97)*G66</f>
        <v>36149796.33</v>
      </c>
      <c r="I66" s="31"/>
      <c r="J66" s="31"/>
      <c r="K66" s="31"/>
      <c r="L66" s="31"/>
      <c r="M66" s="31">
        <f t="shared" si="11"/>
        <v>0.8328439234</v>
      </c>
      <c r="N66" s="31">
        <f t="shared" si="13"/>
        <v>0.03180467703</v>
      </c>
      <c r="O66" s="31">
        <f t="shared" si="1"/>
        <v>0.8063555914</v>
      </c>
      <c r="P66" s="31">
        <f t="shared" si="2"/>
        <v>36304030.57</v>
      </c>
      <c r="Q66" s="31">
        <f t="shared" si="3"/>
        <v>35149392.61</v>
      </c>
      <c r="R66" s="31">
        <f t="shared" si="4"/>
        <v>1154637.967</v>
      </c>
      <c r="S66" s="31">
        <f t="shared" si="5"/>
        <v>0.03180467703</v>
      </c>
      <c r="W66" s="31"/>
      <c r="X66" s="31"/>
      <c r="Y66" s="31"/>
      <c r="Z66" s="31"/>
      <c r="AA66" s="31"/>
      <c r="AB66" s="31"/>
      <c r="AC66" s="31"/>
      <c r="AD66" s="31">
        <f t="shared" si="12"/>
        <v>6060975.208</v>
      </c>
      <c r="AE66" s="31">
        <v>1.0</v>
      </c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</row>
    <row r="67">
      <c r="A67" s="54">
        <v>2086.0</v>
      </c>
      <c r="B67" s="13">
        <v>4.348864E7</v>
      </c>
      <c r="C67" s="13">
        <f t="shared" si="8"/>
        <v>-101797</v>
      </c>
      <c r="D67" s="57">
        <v>156039.0</v>
      </c>
      <c r="E67" s="13">
        <f t="shared" si="9"/>
        <v>43746476</v>
      </c>
      <c r="F67" s="58">
        <f t="shared" si="10"/>
        <v>54242</v>
      </c>
      <c r="G67" s="31">
        <f>B67*AVERAGE('Рынок труда'!$S$3:$S$32)</f>
        <v>36065375.5</v>
      </c>
      <c r="H67" s="31">
        <f>(1-'Рынок труда'!M98)*G67</f>
        <v>36065375.5</v>
      </c>
      <c r="I67" s="31"/>
      <c r="J67" s="31"/>
      <c r="K67" s="31"/>
      <c r="L67" s="31"/>
      <c r="M67" s="31">
        <f t="shared" si="11"/>
        <v>0.8328439234</v>
      </c>
      <c r="N67" s="31">
        <f t="shared" si="13"/>
        <v>0.0317833556</v>
      </c>
      <c r="O67" s="31">
        <f t="shared" si="1"/>
        <v>0.8063733488</v>
      </c>
      <c r="P67" s="31">
        <f t="shared" si="2"/>
        <v>36219249.56</v>
      </c>
      <c r="Q67" s="31">
        <f t="shared" si="3"/>
        <v>35068080.27</v>
      </c>
      <c r="R67" s="31">
        <f t="shared" si="4"/>
        <v>1151169.288</v>
      </c>
      <c r="S67" s="31">
        <f t="shared" si="5"/>
        <v>0.0317833556</v>
      </c>
      <c r="W67" s="31"/>
      <c r="X67" s="31"/>
      <c r="Y67" s="31"/>
      <c r="Z67" s="31"/>
      <c r="AA67" s="31"/>
      <c r="AB67" s="31"/>
      <c r="AC67" s="31"/>
      <c r="AD67" s="31">
        <f t="shared" si="12"/>
        <v>6190260.939</v>
      </c>
      <c r="AE67" s="31">
        <v>1.0</v>
      </c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</row>
    <row r="68">
      <c r="A68" s="54">
        <v>2087.0</v>
      </c>
      <c r="B68" s="13">
        <v>4.336985E7</v>
      </c>
      <c r="C68" s="13">
        <f t="shared" si="8"/>
        <v>-118790</v>
      </c>
      <c r="D68" s="57">
        <v>152298.0</v>
      </c>
      <c r="E68" s="13">
        <f t="shared" si="9"/>
        <v>43640938</v>
      </c>
      <c r="F68" s="58">
        <f t="shared" si="10"/>
        <v>33508</v>
      </c>
      <c r="G68" s="31">
        <f>B68*AVERAGE('Рынок труда'!$S$3:$S$32)</f>
        <v>35966862.28</v>
      </c>
      <c r="H68" s="31">
        <f>(1-'Рынок труда'!M99)*G68</f>
        <v>35966862.28</v>
      </c>
      <c r="I68" s="31"/>
      <c r="J68" s="31"/>
      <c r="K68" s="31"/>
      <c r="L68" s="31"/>
      <c r="M68" s="31">
        <f t="shared" si="11"/>
        <v>0.8328439233</v>
      </c>
      <c r="N68" s="31">
        <f t="shared" si="13"/>
        <v>0.03179827392</v>
      </c>
      <c r="O68" s="31">
        <f t="shared" si="1"/>
        <v>0.8063609241</v>
      </c>
      <c r="P68" s="31">
        <f t="shared" si="2"/>
        <v>36120316.03</v>
      </c>
      <c r="Q68" s="31">
        <f t="shared" si="3"/>
        <v>34971752.32</v>
      </c>
      <c r="R68" s="31">
        <f t="shared" si="4"/>
        <v>1148563.703</v>
      </c>
      <c r="S68" s="31">
        <f t="shared" si="5"/>
        <v>0.03179827392</v>
      </c>
      <c r="W68" s="31"/>
      <c r="X68" s="31"/>
      <c r="Y68" s="31"/>
      <c r="Z68" s="31"/>
      <c r="AA68" s="31"/>
      <c r="AB68" s="31"/>
      <c r="AC68" s="31"/>
      <c r="AD68" s="31">
        <f t="shared" si="12"/>
        <v>6322304.444</v>
      </c>
      <c r="AE68" s="31">
        <v>1.0</v>
      </c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</row>
    <row r="69">
      <c r="A69" s="54">
        <v>2088.0</v>
      </c>
      <c r="B69" s="13">
        <v>4.3291162E7</v>
      </c>
      <c r="C69" s="13">
        <f t="shared" si="8"/>
        <v>-78688</v>
      </c>
      <c r="D69" s="57">
        <v>153486.0</v>
      </c>
      <c r="E69" s="13">
        <f t="shared" si="9"/>
        <v>43523336</v>
      </c>
      <c r="F69" s="58">
        <f t="shared" si="10"/>
        <v>74798</v>
      </c>
      <c r="G69" s="31">
        <f>B69*AVERAGE('Рынок труда'!$S$3:$S$32)</f>
        <v>35901605.88</v>
      </c>
      <c r="H69" s="31">
        <f>(1-'Рынок труда'!M100)*G69</f>
        <v>35901605.88</v>
      </c>
      <c r="I69" s="31"/>
      <c r="J69" s="31"/>
      <c r="K69" s="31"/>
      <c r="L69" s="31"/>
      <c r="M69" s="31">
        <f t="shared" si="11"/>
        <v>0.8328439233</v>
      </c>
      <c r="N69" s="31">
        <f t="shared" si="13"/>
        <v>0.03178334892</v>
      </c>
      <c r="O69" s="31">
        <f t="shared" si="1"/>
        <v>0.8063733543</v>
      </c>
      <c r="P69" s="31">
        <f t="shared" si="2"/>
        <v>36054781.2</v>
      </c>
      <c r="Q69" s="31">
        <f t="shared" si="3"/>
        <v>34908839.51</v>
      </c>
      <c r="R69" s="31">
        <f t="shared" si="4"/>
        <v>1145941.691</v>
      </c>
      <c r="S69" s="31">
        <f t="shared" si="5"/>
        <v>0.03178334892</v>
      </c>
      <c r="W69" s="31"/>
      <c r="X69" s="31"/>
      <c r="Y69" s="31"/>
      <c r="Z69" s="31"/>
      <c r="AA69" s="31"/>
      <c r="AB69" s="31"/>
      <c r="AC69" s="31"/>
      <c r="AD69" s="31">
        <f t="shared" si="12"/>
        <v>6457164.548</v>
      </c>
      <c r="AE69" s="31">
        <v>1.0</v>
      </c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</row>
    <row r="70">
      <c r="A70" s="54">
        <v>2089.0</v>
      </c>
      <c r="B70" s="13">
        <v>4.3187015E7</v>
      </c>
      <c r="C70" s="13">
        <f t="shared" si="8"/>
        <v>-104147</v>
      </c>
      <c r="D70" s="57">
        <v>152869.0</v>
      </c>
      <c r="E70" s="13">
        <f t="shared" si="9"/>
        <v>43444031</v>
      </c>
      <c r="F70" s="58">
        <f t="shared" si="10"/>
        <v>48722</v>
      </c>
      <c r="G70" s="31">
        <f>B70*AVERAGE('Рынок труда'!$S$3:$S$32)</f>
        <v>35815236.18</v>
      </c>
      <c r="H70" s="31">
        <f>(1-'Рынок труда'!M101)*G70</f>
        <v>35815236.18</v>
      </c>
      <c r="I70" s="31"/>
      <c r="J70" s="31"/>
      <c r="K70" s="31"/>
      <c r="L70" s="31"/>
      <c r="M70" s="31">
        <f t="shared" si="11"/>
        <v>0.8328439233</v>
      </c>
      <c r="N70" s="31">
        <f t="shared" si="13"/>
        <v>0.03179379174</v>
      </c>
      <c r="O70" s="31">
        <f t="shared" si="1"/>
        <v>0.806364657</v>
      </c>
      <c r="P70" s="31">
        <f t="shared" si="2"/>
        <v>35968043.01</v>
      </c>
      <c r="Q70" s="31">
        <f t="shared" si="3"/>
        <v>34824482.54</v>
      </c>
      <c r="R70" s="31">
        <f t="shared" si="4"/>
        <v>1143560.469</v>
      </c>
      <c r="S70" s="31">
        <f t="shared" si="5"/>
        <v>0.03179379174</v>
      </c>
      <c r="W70" s="31"/>
      <c r="X70" s="31"/>
      <c r="Y70" s="31"/>
      <c r="Z70" s="31"/>
      <c r="AA70" s="31"/>
      <c r="AB70" s="31"/>
      <c r="AC70" s="31"/>
      <c r="AD70" s="31">
        <f t="shared" si="12"/>
        <v>6594901.332</v>
      </c>
      <c r="AE70" s="31">
        <v>1.0</v>
      </c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</row>
    <row r="71">
      <c r="A71" s="54">
        <v>2090.0</v>
      </c>
      <c r="B71" s="13">
        <v>4.3081701E7</v>
      </c>
      <c r="C71" s="13">
        <f t="shared" si="8"/>
        <v>-105314</v>
      </c>
      <c r="D71" s="57">
        <v>151849.0</v>
      </c>
      <c r="E71" s="13">
        <f t="shared" si="9"/>
        <v>43338864</v>
      </c>
      <c r="F71" s="58">
        <f t="shared" si="10"/>
        <v>46535</v>
      </c>
      <c r="G71" s="31">
        <f>B71*AVERAGE('Рынок труда'!$S$3:$S$32)</f>
        <v>35727898.69</v>
      </c>
      <c r="H71" s="31">
        <f>(1-'Рынок труда'!M102)*G71</f>
        <v>35727898.69</v>
      </c>
      <c r="I71" s="31"/>
      <c r="J71" s="31"/>
      <c r="K71" s="31"/>
      <c r="L71" s="31"/>
      <c r="M71" s="31">
        <f t="shared" si="11"/>
        <v>0.8328439233</v>
      </c>
      <c r="N71" s="31">
        <f t="shared" si="13"/>
        <v>0.03178334424</v>
      </c>
      <c r="O71" s="31">
        <f t="shared" si="1"/>
        <v>0.8063733581</v>
      </c>
      <c r="P71" s="31">
        <f t="shared" si="2"/>
        <v>35880332.88</v>
      </c>
      <c r="Q71" s="31">
        <f t="shared" si="3"/>
        <v>34739935.91</v>
      </c>
      <c r="R71" s="31">
        <f t="shared" si="4"/>
        <v>1140396.972</v>
      </c>
      <c r="S71" s="31">
        <f t="shared" si="5"/>
        <v>0.03178334424</v>
      </c>
      <c r="W71" s="31"/>
      <c r="X71" s="31"/>
      <c r="Y71" s="31"/>
      <c r="Z71" s="31"/>
      <c r="AA71" s="31"/>
      <c r="AB71" s="31"/>
      <c r="AC71" s="31"/>
      <c r="AD71" s="31">
        <f t="shared" si="12"/>
        <v>6735576.159</v>
      </c>
      <c r="AE71" s="31">
        <v>1.0</v>
      </c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</row>
    <row r="72">
      <c r="A72" s="54">
        <v>2091.0</v>
      </c>
      <c r="B72" s="13">
        <v>4.2980488E7</v>
      </c>
      <c r="C72" s="13">
        <f t="shared" si="8"/>
        <v>-101213</v>
      </c>
      <c r="D72" s="57">
        <v>150787.0</v>
      </c>
      <c r="E72" s="13">
        <f t="shared" si="9"/>
        <v>43232488</v>
      </c>
      <c r="F72" s="58">
        <f t="shared" si="10"/>
        <v>49574</v>
      </c>
      <c r="G72" s="31">
        <f>B72*AVERAGE('Рынок труда'!$S$3:$S$32)</f>
        <v>35643962.17</v>
      </c>
      <c r="H72" s="31">
        <f>(1-'Рынок труда'!M103)*G72</f>
        <v>35643962.17</v>
      </c>
      <c r="I72" s="31"/>
      <c r="J72" s="31"/>
      <c r="K72" s="31"/>
      <c r="L72" s="31"/>
      <c r="M72" s="31">
        <f t="shared" si="11"/>
        <v>0.8328439233</v>
      </c>
      <c r="N72" s="31">
        <f t="shared" si="13"/>
        <v>0.03179065422</v>
      </c>
      <c r="O72" s="31">
        <f t="shared" si="1"/>
        <v>0.8063672701</v>
      </c>
      <c r="P72" s="31">
        <f t="shared" si="2"/>
        <v>35796038.25</v>
      </c>
      <c r="Q72" s="31">
        <f t="shared" si="3"/>
        <v>34658058.77</v>
      </c>
      <c r="R72" s="31">
        <f t="shared" si="4"/>
        <v>1137979.474</v>
      </c>
      <c r="S72" s="31">
        <f t="shared" si="5"/>
        <v>0.03179065422</v>
      </c>
      <c r="W72" s="31"/>
      <c r="X72" s="31"/>
      <c r="Y72" s="31"/>
      <c r="Z72" s="31"/>
      <c r="AA72" s="31"/>
      <c r="AB72" s="31"/>
      <c r="AC72" s="31"/>
      <c r="AD72" s="31">
        <f t="shared" si="12"/>
        <v>6879251.698</v>
      </c>
      <c r="AE72" s="31">
        <v>1.0</v>
      </c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</row>
    <row r="73">
      <c r="A73" s="54">
        <v>2092.0</v>
      </c>
      <c r="B73" s="13">
        <v>4.288408E7</v>
      </c>
      <c r="C73" s="13">
        <f t="shared" si="8"/>
        <v>-96408</v>
      </c>
      <c r="D73" s="57">
        <v>149708.0</v>
      </c>
      <c r="E73" s="13">
        <f t="shared" si="9"/>
        <v>43130196</v>
      </c>
      <c r="F73" s="58">
        <f t="shared" si="10"/>
        <v>53300</v>
      </c>
      <c r="G73" s="31">
        <f>B73*AVERAGE('Рынок труда'!$S$3:$S$32)</f>
        <v>35564010.47</v>
      </c>
      <c r="H73" s="31">
        <f>(1-'Рынок труда'!M104)*G73</f>
        <v>35564010.47</v>
      </c>
      <c r="I73" s="31"/>
      <c r="J73" s="31"/>
      <c r="K73" s="31"/>
      <c r="L73" s="31"/>
      <c r="M73" s="31">
        <f t="shared" si="11"/>
        <v>0.8328439232</v>
      </c>
      <c r="N73" s="31">
        <f t="shared" si="13"/>
        <v>0.03178334097</v>
      </c>
      <c r="O73" s="31">
        <f t="shared" si="1"/>
        <v>0.8063733609</v>
      </c>
      <c r="P73" s="31">
        <f t="shared" si="2"/>
        <v>35715745.43</v>
      </c>
      <c r="Q73" s="31">
        <f t="shared" si="3"/>
        <v>34580579.72</v>
      </c>
      <c r="R73" s="31">
        <f t="shared" si="4"/>
        <v>1135165.715</v>
      </c>
      <c r="S73" s="31">
        <f t="shared" si="5"/>
        <v>0.03178334097</v>
      </c>
      <c r="W73" s="31"/>
      <c r="X73" s="31"/>
      <c r="Y73" s="31"/>
      <c r="Z73" s="31"/>
      <c r="AA73" s="31"/>
      <c r="AB73" s="31"/>
      <c r="AC73" s="31"/>
      <c r="AD73" s="31">
        <f t="shared" si="12"/>
        <v>7025991.959</v>
      </c>
      <c r="AE73" s="31">
        <v>1.0</v>
      </c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</row>
    <row r="74">
      <c r="A74" s="54">
        <v>2093.0</v>
      </c>
      <c r="B74" s="13">
        <v>4.2792899E7</v>
      </c>
      <c r="C74" s="13">
        <f t="shared" si="8"/>
        <v>-91181</v>
      </c>
      <c r="D74" s="57">
        <v>148606.0</v>
      </c>
      <c r="E74" s="13">
        <f t="shared" si="9"/>
        <v>43032686</v>
      </c>
      <c r="F74" s="58">
        <f t="shared" si="10"/>
        <v>57425</v>
      </c>
      <c r="G74" s="31">
        <f>B74*AVERAGE('Рынок труда'!$S$3:$S$32)</f>
        <v>35488393.55</v>
      </c>
      <c r="H74" s="31">
        <f>(1-'Рынок труда'!M105)*G74</f>
        <v>35488393.55</v>
      </c>
      <c r="I74" s="31"/>
      <c r="J74" s="31"/>
      <c r="K74" s="31"/>
      <c r="L74" s="31"/>
      <c r="M74" s="31">
        <f t="shared" si="11"/>
        <v>0.8328439232</v>
      </c>
      <c r="N74" s="31">
        <f t="shared" si="13"/>
        <v>0.03178845795</v>
      </c>
      <c r="O74" s="31">
        <f t="shared" si="1"/>
        <v>0.8063690992</v>
      </c>
      <c r="P74" s="31">
        <f t="shared" si="2"/>
        <v>35639805.89</v>
      </c>
      <c r="Q74" s="31">
        <f t="shared" si="3"/>
        <v>34506871.42</v>
      </c>
      <c r="R74" s="31">
        <f t="shared" si="4"/>
        <v>1132934.471</v>
      </c>
      <c r="S74" s="31">
        <f t="shared" si="5"/>
        <v>0.03178845795</v>
      </c>
      <c r="W74" s="31"/>
      <c r="X74" s="31"/>
      <c r="Y74" s="31"/>
      <c r="Z74" s="31"/>
      <c r="AA74" s="31"/>
      <c r="AB74" s="31"/>
      <c r="AC74" s="31"/>
      <c r="AD74" s="31">
        <f t="shared" si="12"/>
        <v>7175862.313</v>
      </c>
      <c r="AE74" s="31">
        <v>1.0</v>
      </c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</row>
    <row r="75">
      <c r="A75" s="54">
        <v>2094.0</v>
      </c>
      <c r="B75" s="13">
        <v>4.2707789E7</v>
      </c>
      <c r="C75" s="13">
        <f t="shared" si="8"/>
        <v>-85110</v>
      </c>
      <c r="D75" s="57">
        <v>147510.0</v>
      </c>
      <c r="E75" s="13">
        <f t="shared" si="9"/>
        <v>42940409</v>
      </c>
      <c r="F75" s="58">
        <f t="shared" si="10"/>
        <v>62400</v>
      </c>
      <c r="G75" s="31">
        <f>B75*AVERAGE('Рынок труда'!$S$3:$S$32)</f>
        <v>35417811.35</v>
      </c>
      <c r="H75" s="31">
        <f>(1-'Рынок труда'!M106)*G75</f>
        <v>35417811.35</v>
      </c>
      <c r="I75" s="31"/>
      <c r="J75" s="31"/>
      <c r="K75" s="31"/>
      <c r="L75" s="31"/>
      <c r="M75" s="31">
        <f t="shared" si="11"/>
        <v>0.8328439232</v>
      </c>
      <c r="N75" s="31">
        <f t="shared" si="13"/>
        <v>0.03178333868</v>
      </c>
      <c r="O75" s="31">
        <f t="shared" si="1"/>
        <v>0.8063733628</v>
      </c>
      <c r="P75" s="31">
        <f t="shared" si="2"/>
        <v>35568922.54</v>
      </c>
      <c r="Q75" s="31">
        <f t="shared" si="3"/>
        <v>34438423.43</v>
      </c>
      <c r="R75" s="31">
        <f t="shared" si="4"/>
        <v>1130499.112</v>
      </c>
      <c r="S75" s="31">
        <f t="shared" si="5"/>
        <v>0.03178333868</v>
      </c>
      <c r="W75" s="31"/>
      <c r="X75" s="31"/>
      <c r="Y75" s="31"/>
      <c r="Z75" s="31"/>
      <c r="AA75" s="31"/>
      <c r="AB75" s="31"/>
      <c r="AC75" s="31"/>
      <c r="AD75" s="31">
        <f t="shared" si="12"/>
        <v>7328929.529</v>
      </c>
      <c r="AE75" s="31">
        <v>1.0</v>
      </c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</row>
    <row r="76">
      <c r="A76" s="54">
        <v>2095.0</v>
      </c>
      <c r="B76" s="13">
        <v>4.2628971E7</v>
      </c>
      <c r="C76" s="13">
        <f t="shared" si="8"/>
        <v>-78818</v>
      </c>
      <c r="D76" s="57">
        <v>146444.0</v>
      </c>
      <c r="E76" s="13">
        <f t="shared" si="9"/>
        <v>42854233</v>
      </c>
      <c r="F76" s="58">
        <f t="shared" si="10"/>
        <v>67626</v>
      </c>
      <c r="G76" s="31">
        <f>B76*AVERAGE('Рынок труда'!$S$3:$S$32)</f>
        <v>35352447.13</v>
      </c>
      <c r="H76" s="31">
        <f>(1-'Рынок труда'!M107)*G76</f>
        <v>35352447.13</v>
      </c>
      <c r="I76" s="31"/>
      <c r="J76" s="31"/>
      <c r="K76" s="31"/>
      <c r="L76" s="31"/>
      <c r="M76" s="31">
        <f t="shared" si="11"/>
        <v>0.8328439232</v>
      </c>
      <c r="N76" s="31">
        <f t="shared" si="13"/>
        <v>0.03178692057</v>
      </c>
      <c r="O76" s="31">
        <f t="shared" si="1"/>
        <v>0.8063703796</v>
      </c>
      <c r="P76" s="31">
        <f t="shared" si="2"/>
        <v>35503279.45</v>
      </c>
      <c r="Q76" s="31">
        <f t="shared" si="3"/>
        <v>34374739.53</v>
      </c>
      <c r="R76" s="31">
        <f t="shared" si="4"/>
        <v>1128539.924</v>
      </c>
      <c r="S76" s="31">
        <f t="shared" si="5"/>
        <v>0.03178692057</v>
      </c>
      <c r="W76" s="31"/>
      <c r="X76" s="31"/>
      <c r="Y76" s="31"/>
      <c r="Z76" s="31"/>
      <c r="AA76" s="31"/>
      <c r="AB76" s="31"/>
      <c r="AC76" s="31"/>
      <c r="AD76" s="31">
        <f t="shared" si="12"/>
        <v>7485261.798</v>
      </c>
      <c r="AE76" s="31">
        <v>1.0</v>
      </c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</row>
    <row r="77">
      <c r="A77" s="54">
        <v>2096.0</v>
      </c>
      <c r="B77" s="13">
        <v>4.2556693E7</v>
      </c>
      <c r="C77" s="13">
        <f t="shared" si="8"/>
        <v>-72278</v>
      </c>
      <c r="D77" s="57">
        <v>145400.0</v>
      </c>
      <c r="E77" s="13">
        <f t="shared" si="9"/>
        <v>42774371</v>
      </c>
      <c r="F77" s="58">
        <f t="shared" si="10"/>
        <v>73122</v>
      </c>
      <c r="G77" s="31">
        <f>B77*AVERAGE('Рынок труда'!$S$3:$S$32)</f>
        <v>35292506.58</v>
      </c>
      <c r="H77" s="31">
        <f>(1-'Рынок труда'!M108)*G77</f>
        <v>35292506.58</v>
      </c>
      <c r="I77" s="31"/>
      <c r="J77" s="31"/>
      <c r="K77" s="31"/>
      <c r="L77" s="31"/>
      <c r="M77" s="31">
        <f t="shared" si="11"/>
        <v>0.8328439232</v>
      </c>
      <c r="N77" s="31">
        <f t="shared" si="13"/>
        <v>0.03178333708</v>
      </c>
      <c r="O77" s="31">
        <f t="shared" si="1"/>
        <v>0.8063733641</v>
      </c>
      <c r="P77" s="31">
        <f t="shared" si="2"/>
        <v>35443083.16</v>
      </c>
      <c r="Q77" s="31">
        <f t="shared" si="3"/>
        <v>34316583.7</v>
      </c>
      <c r="R77" s="31">
        <f t="shared" si="4"/>
        <v>1126499.459</v>
      </c>
      <c r="S77" s="31">
        <f t="shared" si="5"/>
        <v>0.03178333708</v>
      </c>
      <c r="W77" s="31"/>
      <c r="X77" s="31"/>
      <c r="Y77" s="31"/>
      <c r="Z77" s="31"/>
      <c r="AA77" s="31"/>
      <c r="AB77" s="31"/>
      <c r="AC77" s="31"/>
      <c r="AD77" s="31">
        <f t="shared" si="12"/>
        <v>7644928.767</v>
      </c>
      <c r="AE77" s="31">
        <v>1.0</v>
      </c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</row>
    <row r="78">
      <c r="A78" s="54">
        <v>2097.0</v>
      </c>
      <c r="B78" s="13">
        <v>4.249095E7</v>
      </c>
      <c r="C78" s="13">
        <f t="shared" si="8"/>
        <v>-65743</v>
      </c>
      <c r="D78" s="57">
        <v>144409.0</v>
      </c>
      <c r="E78" s="13">
        <f t="shared" si="9"/>
        <v>42701102</v>
      </c>
      <c r="F78" s="58">
        <f t="shared" si="10"/>
        <v>78666</v>
      </c>
      <c r="G78" s="31">
        <f>B78*AVERAGE('Рынок труда'!$S$3:$S$32)</f>
        <v>35237985.53</v>
      </c>
      <c r="H78" s="31">
        <f>(1-'Рынок труда'!M109)*G78</f>
        <v>35237985.53</v>
      </c>
      <c r="I78" s="31"/>
      <c r="J78" s="31"/>
      <c r="K78" s="31"/>
      <c r="L78" s="31"/>
      <c r="M78" s="31">
        <f t="shared" si="11"/>
        <v>0.8328439232</v>
      </c>
      <c r="N78" s="31">
        <f t="shared" si="13"/>
        <v>0.0317858444</v>
      </c>
      <c r="O78" s="31">
        <f t="shared" si="1"/>
        <v>0.8063712759</v>
      </c>
      <c r="P78" s="31">
        <f t="shared" si="2"/>
        <v>35388329.5</v>
      </c>
      <c r="Q78" s="31">
        <f t="shared" si="3"/>
        <v>34263481.56</v>
      </c>
      <c r="R78" s="31">
        <f t="shared" si="4"/>
        <v>1124847.935</v>
      </c>
      <c r="S78" s="31">
        <f t="shared" si="5"/>
        <v>0.0317858444</v>
      </c>
      <c r="W78" s="31"/>
      <c r="X78" s="31"/>
      <c r="Y78" s="31"/>
      <c r="Z78" s="31"/>
      <c r="AA78" s="31"/>
      <c r="AB78" s="31"/>
      <c r="AC78" s="31"/>
      <c r="AD78" s="31">
        <f t="shared" si="12"/>
        <v>7808001.568</v>
      </c>
      <c r="AE78" s="31">
        <v>1.0</v>
      </c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</row>
    <row r="79">
      <c r="A79" s="54">
        <v>2098.0</v>
      </c>
      <c r="B79" s="13">
        <v>4.2431609E7</v>
      </c>
      <c r="C79" s="13">
        <f t="shared" si="8"/>
        <v>-59341</v>
      </c>
      <c r="D79" s="57">
        <v>143479.0</v>
      </c>
      <c r="E79" s="13">
        <f t="shared" si="9"/>
        <v>42634429</v>
      </c>
      <c r="F79" s="58">
        <f t="shared" si="10"/>
        <v>84138</v>
      </c>
      <c r="G79" s="31">
        <f>B79*AVERAGE('Рынок труда'!$S$3:$S$32)</f>
        <v>35188773.71</v>
      </c>
      <c r="H79" s="31">
        <f>(1-'Рынок труда'!M110)*G79</f>
        <v>35188773.71</v>
      </c>
      <c r="I79" s="31"/>
      <c r="J79" s="31"/>
      <c r="K79" s="31"/>
      <c r="L79" s="31"/>
      <c r="M79" s="31">
        <f t="shared" si="11"/>
        <v>0.8328439232</v>
      </c>
      <c r="N79" s="31">
        <f t="shared" si="13"/>
        <v>0.03178333595</v>
      </c>
      <c r="O79" s="31">
        <f t="shared" si="1"/>
        <v>0.806373365</v>
      </c>
      <c r="P79" s="31">
        <f t="shared" si="2"/>
        <v>35338907.71</v>
      </c>
      <c r="Q79" s="31">
        <f t="shared" si="3"/>
        <v>34215719.33</v>
      </c>
      <c r="R79" s="31">
        <f t="shared" si="4"/>
        <v>1123188.376</v>
      </c>
      <c r="S79" s="31">
        <f t="shared" si="5"/>
        <v>0.03178333595</v>
      </c>
      <c r="W79" s="31"/>
      <c r="X79" s="31"/>
      <c r="Y79" s="31"/>
      <c r="Z79" s="31"/>
      <c r="AA79" s="31"/>
      <c r="AB79" s="31"/>
      <c r="AC79" s="31"/>
      <c r="AD79" s="31">
        <f t="shared" si="12"/>
        <v>7974552.849</v>
      </c>
      <c r="AE79" s="31">
        <v>1.0</v>
      </c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</row>
    <row r="80">
      <c r="A80" s="54">
        <v>2099.0</v>
      </c>
      <c r="B80" s="13">
        <v>4.2378354E7</v>
      </c>
      <c r="C80" s="13">
        <f t="shared" si="8"/>
        <v>-53255</v>
      </c>
      <c r="D80" s="57">
        <v>142639.0</v>
      </c>
      <c r="E80" s="13">
        <f t="shared" si="9"/>
        <v>42574248</v>
      </c>
      <c r="F80" s="58">
        <f t="shared" si="10"/>
        <v>89384</v>
      </c>
      <c r="G80" s="31">
        <f>B80*AVERAGE('Рынок труда'!$S$3:$S$32)</f>
        <v>35144609.03</v>
      </c>
      <c r="H80" s="31">
        <f>(1-'Рынок труда'!M111)*G80</f>
        <v>35144609.03</v>
      </c>
      <c r="I80" s="31"/>
      <c r="J80" s="31"/>
      <c r="K80" s="31"/>
      <c r="L80" s="31"/>
      <c r="M80" s="31">
        <f t="shared" si="11"/>
        <v>0.8328439232</v>
      </c>
      <c r="N80" s="31">
        <f t="shared" si="13"/>
        <v>0.03178509108</v>
      </c>
      <c r="O80" s="31">
        <f t="shared" si="1"/>
        <v>0.8063719033</v>
      </c>
      <c r="P80" s="31">
        <f t="shared" si="2"/>
        <v>35294554.6</v>
      </c>
      <c r="Q80" s="31">
        <f t="shared" si="3"/>
        <v>34172713.97</v>
      </c>
      <c r="R80" s="31">
        <f t="shared" si="4"/>
        <v>1121840.633</v>
      </c>
      <c r="S80" s="31">
        <f t="shared" si="5"/>
        <v>0.03178509108</v>
      </c>
      <c r="W80" s="31"/>
      <c r="X80" s="31"/>
      <c r="Y80" s="31"/>
      <c r="Z80" s="31"/>
      <c r="AA80" s="31"/>
      <c r="AB80" s="31"/>
      <c r="AC80" s="31"/>
      <c r="AD80" s="31">
        <f t="shared" si="12"/>
        <v>8144656.81</v>
      </c>
      <c r="AE80" s="31">
        <v>1.0</v>
      </c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</row>
    <row r="81">
      <c r="A81" s="54">
        <v>2100.0</v>
      </c>
      <c r="B81" s="13">
        <v>4.2330442E7</v>
      </c>
      <c r="C81" s="13">
        <f t="shared" si="8"/>
        <v>-47912</v>
      </c>
      <c r="D81" s="57">
        <v>141870.0</v>
      </c>
      <c r="E81" s="13">
        <f t="shared" si="9"/>
        <v>42520224</v>
      </c>
      <c r="F81" s="58">
        <f t="shared" si="10"/>
        <v>93958</v>
      </c>
      <c r="G81" s="31">
        <f>B81*AVERAGE('Рынок труда'!$S$3:$S$32)</f>
        <v>35104875.34</v>
      </c>
      <c r="H81" s="31">
        <f>(1-'Рынок труда'!M112)*G81</f>
        <v>35104875.34</v>
      </c>
      <c r="I81" s="31"/>
      <c r="J81" s="31"/>
      <c r="K81" s="31"/>
      <c r="L81" s="31"/>
      <c r="M81" s="31">
        <f t="shared" si="11"/>
        <v>0.8328439232</v>
      </c>
      <c r="N81" s="31">
        <f t="shared" si="13"/>
        <v>0.03178333517</v>
      </c>
      <c r="O81" s="31">
        <f t="shared" si="1"/>
        <v>0.8063733657</v>
      </c>
      <c r="P81" s="31">
        <f t="shared" si="2"/>
        <v>35254651.39</v>
      </c>
      <c r="Q81" s="31">
        <f t="shared" si="3"/>
        <v>34134140.99</v>
      </c>
      <c r="R81" s="31">
        <f t="shared" si="4"/>
        <v>1120510.401</v>
      </c>
      <c r="S81" s="31">
        <f t="shared" si="5"/>
        <v>0.03178333517</v>
      </c>
      <c r="W81" s="31"/>
      <c r="X81" s="31"/>
      <c r="Y81" s="31"/>
      <c r="Z81" s="31"/>
      <c r="AA81" s="31"/>
      <c r="AB81" s="31"/>
      <c r="AC81" s="31"/>
      <c r="AD81" s="31">
        <f t="shared" si="12"/>
        <v>8318389.232</v>
      </c>
      <c r="AE81" s="31">
        <v>1.0</v>
      </c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</row>
    <row r="83">
      <c r="B83" s="31"/>
    </row>
  </sheetData>
  <mergeCells count="1">
    <mergeCell ref="G1:H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1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1.13"/>
  </cols>
  <sheetData>
    <row r="1">
      <c r="A1" s="41" t="str">
        <f>ModelSheet=Эконом [1]рост!A:Z</f>
        <v>#ERROR!</v>
      </c>
    </row>
    <row r="2">
      <c r="A2" s="41" t="str">
        <f>OpenSolver_AdjNum=6</f>
        <v>#NAME?</v>
      </c>
    </row>
    <row r="3">
      <c r="A3" s="41" t="str">
        <f>OpenSolver_ChosenSolver=NeosCBC</f>
        <v>#NAME?</v>
      </c>
    </row>
    <row r="4">
      <c r="A4" s="41" t="str">
        <f>OpenSolver_FastBuild=0</f>
        <v>#NAME?</v>
      </c>
    </row>
    <row r="5">
      <c r="A5" s="41" t="str">
        <f>OpenSolver_LinearityCheck=1</f>
        <v>#NAME?</v>
      </c>
    </row>
    <row r="6">
      <c r="A6" s="41" t="str">
        <f>solver_adj=Эконом [1]рост!B8</f>
        <v>#ERROR!</v>
      </c>
    </row>
    <row r="7">
      <c r="A7" s="41" t="str">
        <f>solver_adj1=Эконом [1]рост!B9</f>
        <v>#ERROR!</v>
      </c>
    </row>
    <row r="8">
      <c r="A8" s="41" t="str">
        <f>solver_adj2=Эконом [1]рост!B16</f>
        <v>#ERROR!</v>
      </c>
    </row>
    <row r="9">
      <c r="A9" s="41" t="str">
        <f>solver_adj3=Эконом [1]рост!B17</f>
        <v>#ERROR!</v>
      </c>
    </row>
    <row r="10">
      <c r="A10" s="41" t="str">
        <f>solver_adj4=Эконом [1]рост!C5</f>
        <v>#ERROR!</v>
      </c>
    </row>
    <row r="11">
      <c r="A11" s="41" t="str">
        <f>solver_adj5=Эконом [1]рост!B7</f>
        <v>#ERROR!</v>
      </c>
    </row>
    <row r="12">
      <c r="A12" s="41" t="str">
        <f>solver_lhs1=Эконом [1]рост!B8</f>
        <v>#ERROR!</v>
      </c>
    </row>
    <row r="13">
      <c r="A13" s="41" t="str">
        <f>solver_lhs10=Эконом [1]рост!B7</f>
        <v>#ERROR!</v>
      </c>
    </row>
    <row r="14">
      <c r="A14" s="41" t="str">
        <f>solver_lhs2=Эконом [1]рост!B8</f>
        <v>#ERROR!</v>
      </c>
    </row>
    <row r="15">
      <c r="A15" s="41" t="str">
        <f>solver_lhs3=Эконом [1]рост!B9</f>
        <v>#ERROR!</v>
      </c>
    </row>
    <row r="16">
      <c r="A16" s="41" t="str">
        <f>solver_lhs4=Эконом [1]рост!B9</f>
        <v>#ERROR!</v>
      </c>
    </row>
    <row r="17">
      <c r="A17" s="41" t="str">
        <f>solver_lhs5=Эконом [1]рост!B16</f>
        <v>#ERROR!</v>
      </c>
    </row>
    <row r="18">
      <c r="A18" s="41" t="str">
        <f>solver_lhs6=Эконом [1]рост!B16</f>
        <v>#ERROR!</v>
      </c>
    </row>
    <row r="19">
      <c r="A19" s="41" t="str">
        <f>solver_lhs7=Эконом [1]рост!B17</f>
        <v>#ERROR!</v>
      </c>
    </row>
    <row r="20">
      <c r="A20" s="41" t="str">
        <f>solver_lhs8=Эконом [1]рост!B17</f>
        <v>#ERROR!</v>
      </c>
    </row>
    <row r="21" ht="15.75" customHeight="1">
      <c r="A21" s="41" t="str">
        <f>solver_lhs9=Эконом [1]рост!B7</f>
        <v>#ERROR!</v>
      </c>
    </row>
    <row r="22" ht="15.75" customHeight="1">
      <c r="A22" s="41" t="str">
        <f>solver_neg=1</f>
        <v>#NAME?</v>
      </c>
    </row>
    <row r="23" ht="15.75" customHeight="1">
      <c r="A23" s="41" t="str">
        <f>solver_num=10</f>
        <v>#NAME?</v>
      </c>
    </row>
    <row r="24" ht="15.75" customHeight="1">
      <c r="A24" s="41" t="str">
        <f>solver_opt=Эконом [1]рост!B24</f>
        <v>#ERROR!</v>
      </c>
    </row>
    <row r="25" ht="15.75" customHeight="1">
      <c r="A25" s="41" t="str">
        <f>solver_rel1=1</f>
        <v>#NAME?</v>
      </c>
    </row>
    <row r="26" ht="15.75" customHeight="1">
      <c r="A26" s="41" t="str">
        <f>solver_rel10=3</f>
        <v>#NAME?</v>
      </c>
    </row>
    <row r="27" ht="15.75" customHeight="1">
      <c r="A27" s="41" t="str">
        <f>solver_rel2=3</f>
        <v>#NAME?</v>
      </c>
    </row>
    <row r="28" ht="15.75" customHeight="1">
      <c r="A28" s="41" t="str">
        <f>solver_rel3=1</f>
        <v>#NAME?</v>
      </c>
    </row>
    <row r="29" ht="15.75" customHeight="1">
      <c r="A29" s="41" t="str">
        <f>solver_rel4=3</f>
        <v>#NAME?</v>
      </c>
    </row>
    <row r="30" ht="15.75" customHeight="1">
      <c r="A30" s="41" t="str">
        <f>solver_rel5=3</f>
        <v>#NAME?</v>
      </c>
    </row>
    <row r="31" ht="15.75" customHeight="1">
      <c r="A31" s="41" t="str">
        <f>solver_rel6=1</f>
        <v>#NAME?</v>
      </c>
    </row>
    <row r="32" ht="15.75" customHeight="1">
      <c r="A32" s="41" t="str">
        <f>solver_rel7=1</f>
        <v>#NAME?</v>
      </c>
    </row>
    <row r="33" ht="15.75" customHeight="1">
      <c r="A33" s="41" t="str">
        <f>solver_rel8=3</f>
        <v>#NAME?</v>
      </c>
    </row>
    <row r="34" ht="15.75" customHeight="1">
      <c r="A34" s="41" t="str">
        <f>solver_rel9=1</f>
        <v>#NAME?</v>
      </c>
    </row>
    <row r="35" ht="15.75" customHeight="1">
      <c r="A35" s="41" t="str">
        <f>solver_rhs1=Эконом [1]рост!H28</f>
        <v>#ERROR!</v>
      </c>
    </row>
    <row r="36" ht="15.75" customHeight="1">
      <c r="A36" s="41" t="str">
        <f>solver_rhs10=Эконом [1]рост!F31</f>
        <v>#ERROR!</v>
      </c>
    </row>
    <row r="37" ht="15.75" customHeight="1">
      <c r="A37" s="41" t="str">
        <f>solver_rhs2=Эконом [1]рост!F28</f>
        <v>#ERROR!</v>
      </c>
    </row>
    <row r="38" ht="15.75" customHeight="1">
      <c r="A38" s="41" t="str">
        <f>solver_rhs3=Эконом [1]рост!H28</f>
        <v>#ERROR!</v>
      </c>
    </row>
    <row r="39" ht="15.75" customHeight="1">
      <c r="A39" s="41" t="str">
        <f>solver_rhs4=Эконом [1]рост!F28</f>
        <v>#ERROR!</v>
      </c>
    </row>
    <row r="40" ht="15.75" customHeight="1">
      <c r="A40" s="41" t="str">
        <f>solver_rhs5=Эконом [1]рост!F29</f>
        <v>#ERROR!</v>
      </c>
    </row>
    <row r="41" ht="15.75" customHeight="1">
      <c r="A41" s="41" t="str">
        <f>solver_rhs6=Эконом [1]рост!H29</f>
        <v>#ERROR!</v>
      </c>
    </row>
    <row r="42" ht="15.75" customHeight="1">
      <c r="A42" s="41" t="str">
        <f>solver_rhs7=Эконом [1]рост!H30</f>
        <v>#ERROR!</v>
      </c>
    </row>
    <row r="43" ht="15.75" customHeight="1">
      <c r="A43" s="41" t="str">
        <f>solver_rhs8=Эконом [1]рост!F30</f>
        <v>#ERROR!</v>
      </c>
    </row>
    <row r="44" ht="15.75" customHeight="1">
      <c r="A44" s="41" t="str">
        <f>solver_rhs9=Эконом [1]рост!H31</f>
        <v>#ERROR!</v>
      </c>
    </row>
    <row r="45" ht="15.75" customHeight="1">
      <c r="A45" s="41" t="str">
        <f>solver_sho=1</f>
        <v>#NAME?</v>
      </c>
    </row>
    <row r="46" ht="15.75" customHeight="1">
      <c r="A46" s="41" t="str">
        <f>solver_typ=2</f>
        <v>#NAME?</v>
      </c>
    </row>
    <row r="47" ht="15.75" customHeight="1">
      <c r="A47" s="41" t="str">
        <f>solver_val=0</f>
        <v>#NAME?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